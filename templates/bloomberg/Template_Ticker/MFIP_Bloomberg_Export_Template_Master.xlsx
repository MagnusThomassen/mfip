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kingstonuniversity-my.sharepoint.com/personal/k2044330_kingston_ac_uk/Documents/Kingston University/MFIP/Export workbooks/Bloomberg Export Template [Ticker]/"/>
    </mc:Choice>
  </mc:AlternateContent>
  <xr:revisionPtr revIDLastSave="116" documentId="13_ncr:1_{A3898AF5-DCEE-48B4-BB06-2693A18BE76A}" xr6:coauthVersionLast="47" xr6:coauthVersionMax="47" xr10:uidLastSave="{8E579EB8-B5FA-4DD6-AA07-C90C8EFF0715}"/>
  <bookViews>
    <workbookView xWindow="-28920" yWindow="-120" windowWidth="29040" windowHeight="15720" activeTab="4" xr2:uid="{00000000-000D-0000-FFFF-FFFF00000000}"/>
  </bookViews>
  <sheets>
    <sheet name="CONFIG" sheetId="1" r:id="rId1"/>
    <sheet name="BETA" sheetId="2" r:id="rId2"/>
    <sheet name="DVD" sheetId="3" r:id="rId3"/>
    <sheet name="EE" sheetId="4" r:id="rId4"/>
    <sheet name="ANR" sheetId="9" r:id="rId5"/>
    <sheet name="HP_Monthly" sheetId="7" r:id="rId6"/>
    <sheet name="HP_Daily" sheetId="8" r:id="rId7"/>
  </sheets>
  <definedNames>
    <definedName name="ASOFDATE">ANR!$F$6</definedName>
    <definedName name="Period">#REF!</definedName>
    <definedName name="TICKER">ANR!#REF!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9" l="1" a="1"/>
  <c r="B6" i="3" a="1"/>
  <c r="C6" i="2"/>
  <c r="C7" i="2"/>
  <c r="C8" i="2" a="1"/>
  <c r="E11" i="9" l="1"/>
  <c r="B6" i="3"/>
  <c r="C8" i="2"/>
  <c r="C11" i="4"/>
  <c r="C8" i="4"/>
  <c r="C10" i="4"/>
  <c r="C9" i="4"/>
  <c r="C7" i="4"/>
  <c r="C6" i="9"/>
  <c r="E6" i="9"/>
  <c r="E15" i="9" s="1" a="1"/>
  <c r="E13" i="9" a="1"/>
  <c r="E12" i="9" a="1"/>
  <c r="E10" i="9" a="1"/>
  <c r="E8" i="9" a="1"/>
  <c r="E9" i="9" a="1"/>
  <c r="C11" i="9" a="1"/>
  <c r="C10" i="9" a="1"/>
  <c r="C8" i="9" a="1"/>
  <c r="C12" i="9" a="1"/>
  <c r="C9" i="9" a="1"/>
  <c r="B6" i="7" a="1"/>
  <c r="B6" i="8" a="1"/>
  <c r="E12" i="9" l="1"/>
  <c r="E13" i="9"/>
  <c r="C9" i="9"/>
  <c r="C12" i="9"/>
  <c r="C8" i="9"/>
  <c r="C10" i="9"/>
  <c r="C11" i="9"/>
  <c r="E9" i="9"/>
  <c r="E8" i="9"/>
  <c r="E10" i="9"/>
  <c r="E15" i="9"/>
  <c r="B6" i="8"/>
  <c r="B6" i="7"/>
  <c r="F15" i="9" a="1"/>
  <c r="B15" i="9" a="1"/>
  <c r="B15" i="9" l="1"/>
  <c r="F15" i="9"/>
  <c r="C13" i="9"/>
  <c r="C3" i="8" l="1"/>
  <c r="C3" i="7"/>
  <c r="C4" i="4"/>
  <c r="C3" i="4"/>
  <c r="C3" i="3"/>
  <c r="C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<sst xmlns="http://schemas.openxmlformats.org/spreadsheetml/2006/main" count="127" uniqueCount="105">
  <si>
    <t>MFIP Bloomberg Export Template — Master</t>
  </si>
  <si>
    <t xml:space="preserve">  &lt;-- TICKER (change me)</t>
  </si>
  <si>
    <t xml:space="preserve">  &lt;-- CURRENCY</t>
  </si>
  <si>
    <t>Lab Workflow — Instructions</t>
  </si>
  <si>
    <t>1. Open this template on a Bloomberg Terminal lab PC (Bloomberg Excel Add-in must be loaded).</t>
  </si>
  <si>
    <t>2. Change the ticker in cell B3 to your desired security (e.g., "DNB NO Equity", "AAPL US Equity").</t>
  </si>
  <si>
    <t>3. Optionally change the reporting currency in B4 (USD, NOK, EUR, ...).</t>
  </si>
  <si>
    <t>4. Wait ~30 seconds for all BDP() and BDH() calls across the seven data sheets to refresh.</t>
  </si>
  <si>
    <t>5. Verify no #N/A Requesting Data... cells remain (press F9 if needed).</t>
  </si>
  <si>
    <t>6. Select all (Ctrl+A) on each data sheet, Copy, then Paste Special &gt; Values to freeze the data.</t>
  </si>
  <si>
    <t>7. Save As: &lt;TICKER&gt;_&lt;YYYY-MM-DD&gt;.xlsx (e.g., DNB_2026-05-08.xlsx).</t>
  </si>
  <si>
    <t>8. Done — the static export is ready for the MFIP report.</t>
  </si>
  <si>
    <t>Quick Reference — Key Metrics Extracted</t>
  </si>
  <si>
    <t>Sheet</t>
  </si>
  <si>
    <t>Data Type</t>
  </si>
  <si>
    <t>Bloomberg Function</t>
  </si>
  <si>
    <t>Key Fields</t>
  </si>
  <si>
    <t>Frequency</t>
  </si>
  <si>
    <t>BETA</t>
  </si>
  <si>
    <t>Beta &amp; R-squared</t>
  </si>
  <si>
    <t>BDP</t>
  </si>
  <si>
    <t>Point-in-time</t>
  </si>
  <si>
    <t>DVD</t>
  </si>
  <si>
    <t>Dividend history</t>
  </si>
  <si>
    <t>BDS</t>
  </si>
  <si>
    <t>DVD_HIST_ALL (Decl, Ex, Record, Pay, Amt, Type, Ccy)</t>
  </si>
  <si>
    <t>All history</t>
  </si>
  <si>
    <t>EE</t>
  </si>
  <si>
    <t>Earnings estimates</t>
  </si>
  <si>
    <t>Forward consensus</t>
  </si>
  <si>
    <t>RV_Comps</t>
  </si>
  <si>
    <t>Relative valuation</t>
  </si>
  <si>
    <t>ANR</t>
  </si>
  <si>
    <t>Analyst recommendations</t>
  </si>
  <si>
    <t>TOT_BUY_REC, TOT_HOLD_REC, TOT_SELL_REC, BEST_TARGET_PRICE, TOT_ANALYST_REC</t>
  </si>
  <si>
    <t>HP_Monthly</t>
  </si>
  <si>
    <t>Price history</t>
  </si>
  <si>
    <t>BDH</t>
  </si>
  <si>
    <t>PX_LAST (Per=cm)</t>
  </si>
  <si>
    <t>10Y monthly</t>
  </si>
  <si>
    <t>HP_Daily</t>
  </si>
  <si>
    <t>PX_LAST (Per=cd)</t>
  </si>
  <si>
    <t>5Y daily</t>
  </si>
  <si>
    <t>Note: All formulas reference CONFIG!$B$3 (ticker) and CONFIG!$B$4 (currency). Never hardcode a ticker on any sheet. Bloomberg Excel Add-in is required for live data.</t>
  </si>
  <si>
    <t>BETA — Raw, Adjusted, and R-squared</t>
  </si>
  <si>
    <t>Ticker</t>
  </si>
  <si>
    <t>Metric</t>
  </si>
  <si>
    <t>Value</t>
  </si>
  <si>
    <t>Bloomberg Field</t>
  </si>
  <si>
    <t>Raw Beta (overridable, 2Y weekly vs local index)</t>
  </si>
  <si>
    <t>BETA_RAW_OVERRIDABLE</t>
  </si>
  <si>
    <t>Adjusted Beta (Bloomberg adjusted)</t>
  </si>
  <si>
    <t>BETA_ADJ_OVERRIDABLE</t>
  </si>
  <si>
    <t>R-squared</t>
  </si>
  <si>
    <t>DVD — Dividend History</t>
  </si>
  <si>
    <t>BDS returns the full dividend history. The array spills from B6. Columns: Declared Date | Ex-Date | Record Date | Payable Date | Amount | Frequency | Type</t>
  </si>
  <si>
    <t>Declared Date</t>
  </si>
  <si>
    <t>Ex-Date</t>
  </si>
  <si>
    <t>Record Date</t>
  </si>
  <si>
    <t>Payable Date</t>
  </si>
  <si>
    <t>Amount</t>
  </si>
  <si>
    <t>Type</t>
  </si>
  <si>
    <t>EE — Earnings Estimates (Forward Consensus)</t>
  </si>
  <si>
    <t>Currency</t>
  </si>
  <si>
    <t>Forward EPS (next fiscal year, BEst)</t>
  </si>
  <si>
    <t>BEST_EPS</t>
  </si>
  <si>
    <t>Long-Term Growth (LTG, %)</t>
  </si>
  <si>
    <t>Revenue Estimate (next fiscal year, BEst)</t>
  </si>
  <si>
    <t>BEST_SALES</t>
  </si>
  <si>
    <t>EBITDA Estimate (next fiscal year, BEst)</t>
  </si>
  <si>
    <t>BEST_EBITDA</t>
  </si>
  <si>
    <t>Consensus Rating (1=Buy, 5=Sell)</t>
  </si>
  <si>
    <t>BEST_ANALYST_RATING</t>
  </si>
  <si>
    <t>HP_Monthly — Historical Prices (10-Year, Monthly)</t>
  </si>
  <si>
    <t>BDH returns a 2-column array (Date | PX_LAST) that spills from B6. 10-year monthly close, last day of month.</t>
  </si>
  <si>
    <t>Date</t>
  </si>
  <si>
    <t>PX_LAST</t>
  </si>
  <si>
    <t>HP_Daily — Historical Prices (5-Year, Daily)</t>
  </si>
  <si>
    <t>BDH returns a 2-column array (Date | PX_LAST) that spills from B6. 5-year daily close, weekdays only.</t>
  </si>
  <si>
    <t>COEF_DETER_R_SQUARED</t>
  </si>
  <si>
    <t>DVD_HIST_ALL</t>
  </si>
  <si>
    <t>BEST_LTG_EEPS</t>
  </si>
  <si>
    <t>BETA_RAW_OVERRIDABLE, BETA_ADJ_OVERRIDABLE, COEF_DETER_R_SQUARED</t>
  </si>
  <si>
    <t>BEST_EPS, BEST_LTG_EEPS, BEST_SALES, BEST_EBITDA, BEST_ANALYST_RATING</t>
  </si>
  <si>
    <t>BEST_CUR_EV_TO_EBITDA , BEST_PE_RATIO, EV/Sales, PX_TO_BOOK_RATIO</t>
  </si>
  <si>
    <t>(Change settings below)</t>
  </si>
  <si>
    <t>As of Date:</t>
  </si>
  <si>
    <t>Lookback Period:</t>
  </si>
  <si>
    <t>2Y</t>
  </si>
  <si>
    <t>Buys %</t>
  </si>
  <si>
    <t>Total Buys</t>
  </si>
  <si>
    <t>Holds %</t>
  </si>
  <si>
    <t>Total Holds</t>
  </si>
  <si>
    <t>Sells %</t>
  </si>
  <si>
    <t>Total Sells</t>
  </si>
  <si>
    <t>Rating</t>
  </si>
  <si>
    <t>Target Price</t>
  </si>
  <si>
    <t>Last Price</t>
  </si>
  <si>
    <t>Return Potential</t>
  </si>
  <si>
    <t>LTM Return</t>
  </si>
  <si>
    <t>Dates</t>
  </si>
  <si>
    <t>Buy %</t>
  </si>
  <si>
    <t>Hold %</t>
  </si>
  <si>
    <t>Sell %</t>
  </si>
  <si>
    <t>Price Spread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</si>
</sst>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%"/>
    <numFmt numFmtId="166" formatCode="_(* #,##0.00_);_(* \(#,##0.00\);_(* &quot;-&quot;??_);_(@_)"/>
    <numFmt numFmtId="167" formatCode="yyyy\-mm\-dd;@"/>
  </numFmts>
  <fonts count="20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b/>
      <sz val="10"/>
      <name val="Arial"/>
      <family val="2"/>
    </font>
    <font>
      <b/>
      <sz val="11"/>
      <color rgb="FF000000"/>
      <name val="Arial"/>
      <family val="2"/>
    </font>
    <font>
      <i/>
      <sz val="10"/>
      <color rgb="FFC00000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i/>
      <sz val="9"/>
      <color rgb="FF595959"/>
      <name val="Arial"/>
      <family val="2"/>
    </font>
    <font>
      <sz val="10"/>
      <color rgb="FF008000"/>
      <name val="Arial"/>
      <family val="2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i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rgb="FFFFFFFF"/>
      <name val="Calibri"/>
      <family val="2"/>
    </font>
    <font>
      <b/>
      <sz val="12"/>
      <name val="Calibri"/>
      <family val="2"/>
    </font>
    <font>
      <b/>
      <sz val="12"/>
      <color rgb="FF000000"/>
      <name val="Calibri"/>
      <family val="2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8CBAD"/>
      </patternFill>
    </fill>
    <fill>
      <patternFill patternType="solid">
        <fgColor rgb="FF305496"/>
      </patternFill>
    </fill>
    <fill>
      <patternFill patternType="solid">
        <fgColor rgb="FFD9E1F2"/>
      </patternFill>
    </fill>
    <fill>
      <patternFill patternType="solid">
        <fgColor rgb="FFFFF2CC"/>
      </patternFill>
    </fill>
    <fill>
      <gradientFill>
        <stop position="0">
          <color rgb="FF1F497D"/>
        </stop>
        <stop position="0.5">
          <color rgb="FF4F81BD"/>
        </stop>
        <stop position="1">
          <color rgb="FF1F497D"/>
        </stop>
      </gradientFill>
    </fill>
    <fill>
      <patternFill patternType="solid">
        <fgColor rgb="FFFABF8F"/>
        <bgColor indexed="64"/>
      </patternFill>
    </fill>
    <fill>
      <gradientFill>
        <stop position="0">
          <color rgb="FF8DB4E2"/>
        </stop>
        <stop position="0.5">
          <color rgb="FFC5D9F1"/>
        </stop>
        <stop position="1">
          <color rgb="FF8DB4E2"/>
        </stop>
      </gradientFill>
    </fill>
    <fill>
      <gradientFill>
        <stop position="0">
          <color rgb="FFB8CCE4"/>
        </stop>
        <stop position="0.5">
          <color rgb="FFDCE6F1"/>
        </stop>
        <stop position="1">
          <color rgb="FFB8CCE4"/>
        </stop>
      </gradientFill>
    </fill>
  </fills>
  <borders count="9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4">
    <xf numFmtId="0" fontId="0" fillId="0" borderId="0"/>
    <xf numFmtId="0" fontId="10" fillId="0" borderId="2"/>
    <xf numFmtId="9" fontId="10" fillId="0" borderId="2" applyFont="0" applyFill="0" applyBorder="0" applyAlignment="0" applyProtection="0"/>
    <xf numFmtId="166" fontId="10" fillId="0" borderId="2" applyFont="0" applyFill="0" applyBorder="0" applyAlignment="0" applyProtection="0"/>
  </cellStyleXfs>
  <cellXfs count="58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2" fillId="0" borderId="0" xfId="0" applyFont="1"/>
    <xf numFmtId="0" fontId="8" fillId="0" borderId="0" xfId="0" applyFont="1"/>
    <xf numFmtId="0" fontId="6" fillId="0" borderId="1" xfId="0" applyFont="1" applyBorder="1"/>
    <xf numFmtId="164" fontId="9" fillId="0" borderId="1" xfId="0" applyNumberFormat="1" applyFont="1" applyBorder="1" applyAlignment="1">
      <alignment horizontal="center" vertical="center"/>
    </xf>
    <xf numFmtId="0" fontId="7" fillId="0" borderId="1" xfId="0" applyFont="1" applyBorder="1"/>
    <xf numFmtId="0" fontId="9" fillId="0" borderId="1" xfId="0" applyFont="1" applyBorder="1" applyAlignment="1">
      <alignment horizontal="center" vertical="center"/>
    </xf>
    <xf numFmtId="14" fontId="9" fillId="0" borderId="0" xfId="0" applyNumberFormat="1" applyFont="1" applyAlignment="1">
      <alignment horizontal="center" vertical="center"/>
    </xf>
    <xf numFmtId="14" fontId="0" fillId="0" borderId="0" xfId="0" applyNumberFormat="1"/>
    <xf numFmtId="0" fontId="11" fillId="0" borderId="2" xfId="1" applyFont="1"/>
    <xf numFmtId="165" fontId="11" fillId="0" borderId="2" xfId="1" applyNumberFormat="1" applyFont="1"/>
    <xf numFmtId="0" fontId="12" fillId="0" borderId="3" xfId="1" applyFont="1" applyBorder="1"/>
    <xf numFmtId="0" fontId="13" fillId="0" borderId="4" xfId="1" quotePrefix="1" applyFont="1" applyBorder="1" applyAlignment="1">
      <alignment horizontal="center"/>
    </xf>
    <xf numFmtId="0" fontId="14" fillId="0" borderId="5" xfId="1" applyFont="1" applyBorder="1" applyAlignment="1">
      <alignment vertical="center"/>
    </xf>
    <xf numFmtId="2" fontId="11" fillId="0" borderId="2" xfId="1" applyNumberFormat="1" applyFont="1"/>
    <xf numFmtId="14" fontId="11" fillId="0" borderId="2" xfId="1" applyNumberFormat="1" applyFont="1" applyAlignment="1">
      <alignment horizontal="center" vertical="center"/>
    </xf>
    <xf numFmtId="0" fontId="14" fillId="7" borderId="4" xfId="1" applyFont="1" applyFill="1" applyBorder="1" applyAlignment="1">
      <alignment horizontal="center" vertical="center"/>
    </xf>
    <xf numFmtId="0" fontId="13" fillId="8" borderId="4" xfId="1" quotePrefix="1" applyFont="1" applyFill="1" applyBorder="1" applyAlignment="1">
      <alignment horizontal="center"/>
    </xf>
    <xf numFmtId="14" fontId="13" fillId="8" borderId="4" xfId="1" quotePrefix="1" applyNumberFormat="1" applyFont="1" applyFill="1" applyBorder="1" applyAlignment="1">
      <alignment horizontal="center"/>
    </xf>
    <xf numFmtId="165" fontId="15" fillId="9" borderId="7" xfId="2" quotePrefix="1" applyNumberFormat="1" applyFont="1" applyFill="1" applyBorder="1" applyAlignment="1">
      <alignment horizontal="center" vertical="top"/>
    </xf>
    <xf numFmtId="1" fontId="15" fillId="9" borderId="7" xfId="2" quotePrefix="1" applyNumberFormat="1" applyFont="1" applyFill="1" applyBorder="1" applyAlignment="1">
      <alignment horizontal="center" vertical="top"/>
    </xf>
    <xf numFmtId="2" fontId="16" fillId="9" borderId="7" xfId="2" quotePrefix="1" applyNumberFormat="1" applyFont="1" applyFill="1" applyBorder="1" applyAlignment="1">
      <alignment horizontal="center" vertical="top"/>
    </xf>
    <xf numFmtId="2" fontId="15" fillId="9" borderId="7" xfId="2" quotePrefix="1" applyNumberFormat="1" applyFont="1" applyFill="1" applyBorder="1" applyAlignment="1">
      <alignment horizontal="center" vertical="top"/>
    </xf>
    <xf numFmtId="165" fontId="16" fillId="9" borderId="7" xfId="2" quotePrefix="1" applyNumberFormat="1" applyFont="1" applyFill="1" applyBorder="1" applyAlignment="1">
      <alignment horizontal="center" vertical="top"/>
    </xf>
    <xf numFmtId="0" fontId="17" fillId="7" borderId="4" xfId="1" applyFont="1" applyFill="1" applyBorder="1" applyAlignment="1">
      <alignment horizontal="center" vertical="center"/>
    </xf>
    <xf numFmtId="0" fontId="18" fillId="10" borderId="4" xfId="1" applyFont="1" applyFill="1" applyBorder="1" applyAlignment="1">
      <alignment horizontal="center" vertical="center"/>
    </xf>
    <xf numFmtId="0" fontId="19" fillId="10" borderId="4" xfId="2" quotePrefix="1" applyNumberFormat="1" applyFont="1" applyFill="1" applyBorder="1" applyAlignment="1">
      <alignment horizontal="center" vertical="top"/>
    </xf>
    <xf numFmtId="0" fontId="18" fillId="9" borderId="4" xfId="1" applyFont="1" applyFill="1" applyBorder="1" applyAlignment="1">
      <alignment horizontal="center" vertical="center"/>
    </xf>
    <xf numFmtId="0" fontId="19" fillId="9" borderId="4" xfId="3" quotePrefix="1" applyNumberFormat="1" applyFont="1" applyFill="1" applyBorder="1" applyAlignment="1">
      <alignment horizontal="center" vertical="top"/>
    </xf>
    <xf numFmtId="2" fontId="19" fillId="10" borderId="4" xfId="2" applyNumberFormat="1" applyFont="1" applyFill="1" applyBorder="1" applyAlignment="1">
      <alignment horizontal="center" vertical="top"/>
    </xf>
    <xf numFmtId="2" fontId="19" fillId="9" borderId="4" xfId="2" applyNumberFormat="1" applyFont="1" applyFill="1" applyBorder="1" applyAlignment="1">
      <alignment horizontal="center" vertical="top"/>
    </xf>
    <xf numFmtId="14" fontId="17" fillId="7" borderId="4" xfId="1" applyNumberFormat="1" applyFont="1" applyFill="1" applyBorder="1" applyAlignment="1">
      <alignment horizontal="center" vertical="center"/>
    </xf>
    <xf numFmtId="14" fontId="19" fillId="10" borderId="4" xfId="2" applyNumberFormat="1" applyFont="1" applyFill="1" applyBorder="1" applyAlignment="1">
      <alignment horizontal="center" vertical="center"/>
    </xf>
    <xf numFmtId="14" fontId="19" fillId="9" borderId="4" xfId="2" applyNumberFormat="1" applyFont="1" applyFill="1" applyBorder="1" applyAlignment="1">
      <alignment horizontal="center" vertical="center"/>
    </xf>
    <xf numFmtId="14" fontId="17" fillId="0" borderId="2" xfId="1" applyNumberFormat="1" applyFont="1" applyAlignment="1">
      <alignment horizontal="center" vertical="center"/>
    </xf>
    <xf numFmtId="14" fontId="19" fillId="0" borderId="2" xfId="2" applyNumberFormat="1" applyFont="1" applyFill="1" applyBorder="1" applyAlignment="1">
      <alignment horizontal="center" vertical="center"/>
    </xf>
    <xf numFmtId="167" fontId="19" fillId="10" borderId="8" xfId="1" applyNumberFormat="1" applyFont="1" applyFill="1" applyBorder="1" applyAlignment="1">
      <alignment horizontal="center" vertical="center"/>
    </xf>
    <xf numFmtId="2" fontId="19" fillId="10" borderId="8" xfId="2" applyNumberFormat="1" applyFont="1" applyFill="1" applyBorder="1" applyAlignment="1">
      <alignment horizontal="center" vertical="top"/>
    </xf>
    <xf numFmtId="165" fontId="19" fillId="10" borderId="8" xfId="1" applyNumberFormat="1" applyFont="1" applyFill="1" applyBorder="1" applyAlignment="1">
      <alignment horizontal="center" vertical="top"/>
    </xf>
    <xf numFmtId="167" fontId="19" fillId="9" borderId="4" xfId="1" applyNumberFormat="1" applyFont="1" applyFill="1" applyBorder="1" applyAlignment="1">
      <alignment horizontal="center" vertical="center"/>
    </xf>
    <xf numFmtId="2" fontId="19" fillId="9" borderId="4" xfId="2" quotePrefix="1" applyNumberFormat="1" applyFont="1" applyFill="1" applyBorder="1" applyAlignment="1">
      <alignment horizontal="center" vertical="top"/>
    </xf>
    <xf numFmtId="165" fontId="19" fillId="9" borderId="4" xfId="2" applyNumberFormat="1" applyFont="1" applyFill="1" applyBorder="1" applyAlignment="1">
      <alignment horizontal="center" vertical="top"/>
    </xf>
    <xf numFmtId="0" fontId="12" fillId="0" borderId="3" xfId="1" applyFont="1" applyBorder="1" applyAlignment="1">
      <alignment horizontal="center"/>
    </xf>
    <xf numFmtId="0" fontId="14" fillId="7" borderId="2" xfId="1" applyFont="1" applyFill="1" applyAlignment="1">
      <alignment horizontal="right" vertical="center" indent="7"/>
    </xf>
    <xf numFmtId="0" fontId="14" fillId="7" borderId="5" xfId="1" applyFont="1" applyFill="1" applyBorder="1" applyAlignment="1">
      <alignment horizontal="right" vertical="center" indent="7"/>
    </xf>
    <xf numFmtId="14" fontId="13" fillId="8" borderId="6" xfId="1" quotePrefix="1" applyNumberFormat="1" applyFont="1" applyFill="1" applyBorder="1" applyAlignment="1">
      <alignment horizontal="center"/>
    </xf>
    <xf numFmtId="14" fontId="13" fillId="8" borderId="7" xfId="1" quotePrefix="1" applyNumberFormat="1" applyFont="1" applyFill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6" fillId="0" borderId="0" xfId="0" applyFont="1" applyAlignment="1">
      <alignment horizontal="left" vertical="center" wrapText="1"/>
    </xf>
    <xf numFmtId="0" fontId="7" fillId="6" borderId="0" xfId="0" applyFont="1" applyFill="1" applyAlignment="1">
      <alignment horizontal="left" vertical="center" wrapText="1"/>
    </xf>
    <xf numFmtId="0" fontId="5" fillId="4" borderId="0" xfId="0" applyFont="1" applyFill="1" applyAlignment="1">
      <alignment horizontal="center" vertical="center"/>
    </xf>
    <xf numFmtId="0" fontId="7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/>
    </xf>
  </cellXfs>
  <cellStyles count="4">
    <cellStyle name="Comma 2" xfId="3" xr:uid="{C84484D9-4653-4826-A724-7798FC54FE5C}"/>
    <cellStyle name="Normal" xfId="0" builtinId="0"/>
    <cellStyle name="Normal 2" xfId="1" xr:uid="{C115B5E1-1DC6-4789-8E3E-9EA34D67DCAC}"/>
    <cellStyle name="Percent 2" xfId="2" xr:uid="{651774FE-AFE6-482F-AA18-9ED2BE75D6A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4664128379307587E-2"/>
          <c:y val="5.402688048235741E-2"/>
          <c:w val="0.88232180205475386"/>
          <c:h val="0.76653109237458417"/>
        </c:manualLayout>
      </c:layout>
      <c:barChart>
        <c:barDir val="col"/>
        <c:grouping val="percentStacked"/>
        <c:varyColors val="0"/>
        <c:ser>
          <c:idx val="2"/>
          <c:order val="2"/>
          <c:tx>
            <c:strRef>
              <c:f>ANR!$K$32</c:f>
              <c:strCache>
                <c:ptCount val="1"/>
                <c:pt idx="0">
                  <c:v>Buy %</c:v>
                </c:pt>
              </c:strCache>
            </c:strRef>
          </c:tx>
          <c:spPr>
            <a:solidFill>
              <a:srgbClr val="2AB03D"/>
            </a:solidFill>
            <a:ln>
              <a:noFill/>
            </a:ln>
            <a:effectLst/>
          </c:spPr>
          <c:invertIfNegative val="0"/>
          <c:cat>
            <c:numRef>
              <c:f>ANR!$H$33:$H$300</c:f>
              <c:numCache>
                <c:formatCode>yyyy\-mm\-dd;@</c:formatCode>
                <c:ptCount val="268"/>
                <c:pt idx="0">
                  <c:v>0</c:v>
                </c:pt>
              </c:numCache>
            </c:numRef>
          </c:cat>
          <c:val>
            <c:numRef>
              <c:f>ANR!$K$33:$K$300</c:f>
              <c:numCache>
                <c:formatCode>0.0%</c:formatCode>
                <c:ptCount val="268"/>
              </c:numCache>
            </c:numRef>
          </c:val>
          <c:extLst>
            <c:ext xmlns:c16="http://schemas.microsoft.com/office/drawing/2014/chart" uri="{C3380CC4-5D6E-409C-BE32-E72D297353CC}">
              <c16:uniqueId val="{00000000-8A93-4D92-861A-F9A52B738FFE}"/>
            </c:ext>
          </c:extLst>
        </c:ser>
        <c:ser>
          <c:idx val="3"/>
          <c:order val="3"/>
          <c:tx>
            <c:strRef>
              <c:f>ANR!$L$32</c:f>
              <c:strCache>
                <c:ptCount val="1"/>
                <c:pt idx="0">
                  <c:v>Hold %</c:v>
                </c:pt>
              </c:strCache>
            </c:strRef>
          </c:tx>
          <c:spPr>
            <a:solidFill>
              <a:srgbClr val="9B993F"/>
            </a:solidFill>
            <a:ln>
              <a:noFill/>
            </a:ln>
            <a:effectLst/>
          </c:spPr>
          <c:invertIfNegative val="0"/>
          <c:cat>
            <c:numRef>
              <c:f>ANR!$H$33:$H$300</c:f>
              <c:numCache>
                <c:formatCode>yyyy\-mm\-dd;@</c:formatCode>
                <c:ptCount val="268"/>
                <c:pt idx="0">
                  <c:v>0</c:v>
                </c:pt>
              </c:numCache>
            </c:numRef>
          </c:cat>
          <c:val>
            <c:numRef>
              <c:f>ANR!$L$33:$L$300</c:f>
              <c:numCache>
                <c:formatCode>0.0%</c:formatCode>
                <c:ptCount val="268"/>
              </c:numCache>
            </c:numRef>
          </c:val>
          <c:extLst>
            <c:ext xmlns:c16="http://schemas.microsoft.com/office/drawing/2014/chart" uri="{C3380CC4-5D6E-409C-BE32-E72D297353CC}">
              <c16:uniqueId val="{00000001-8A93-4D92-861A-F9A52B738FFE}"/>
            </c:ext>
          </c:extLst>
        </c:ser>
        <c:ser>
          <c:idx val="4"/>
          <c:order val="4"/>
          <c:tx>
            <c:strRef>
              <c:f>ANR!$M$32</c:f>
              <c:strCache>
                <c:ptCount val="1"/>
                <c:pt idx="0">
                  <c:v>Sell %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ANR!$H$33:$H$300</c:f>
              <c:numCache>
                <c:formatCode>yyyy\-mm\-dd;@</c:formatCode>
                <c:ptCount val="268"/>
                <c:pt idx="0">
                  <c:v>0</c:v>
                </c:pt>
              </c:numCache>
            </c:numRef>
          </c:cat>
          <c:val>
            <c:numRef>
              <c:f>ANR!$M$33:$M$300</c:f>
              <c:numCache>
                <c:formatCode>0.0%</c:formatCode>
                <c:ptCount val="268"/>
              </c:numCache>
            </c:numRef>
          </c:val>
          <c:extLst>
            <c:ext xmlns:c16="http://schemas.microsoft.com/office/drawing/2014/chart" uri="{C3380CC4-5D6E-409C-BE32-E72D297353CC}">
              <c16:uniqueId val="{00000002-8A93-4D92-861A-F9A52B738F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2108730216"/>
        <c:axId val="2108741016"/>
      </c:barChart>
      <c:lineChart>
        <c:grouping val="standard"/>
        <c:varyColors val="0"/>
        <c:ser>
          <c:idx val="0"/>
          <c:order val="0"/>
          <c:tx>
            <c:strRef>
              <c:f>ANR!$I$32</c:f>
              <c:strCache>
                <c:ptCount val="1"/>
                <c:pt idx="0">
                  <c:v>Target Price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ANR!$H$33:$H$300</c:f>
              <c:numCache>
                <c:formatCode>yyyy\-mm\-dd;@</c:formatCode>
                <c:ptCount val="268"/>
                <c:pt idx="0">
                  <c:v>0</c:v>
                </c:pt>
              </c:numCache>
            </c:numRef>
          </c:cat>
          <c:val>
            <c:numRef>
              <c:f>ANR!$I$33:$I$300</c:f>
              <c:numCache>
                <c:formatCode>0.00</c:formatCode>
                <c:ptCount val="26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A93-4D92-861A-F9A52B738FFE}"/>
            </c:ext>
          </c:extLst>
        </c:ser>
        <c:ser>
          <c:idx val="1"/>
          <c:order val="1"/>
          <c:tx>
            <c:strRef>
              <c:f>ANR!$J$32</c:f>
              <c:strCache>
                <c:ptCount val="1"/>
                <c:pt idx="0">
                  <c:v>Last Price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ANR!$H$33:$H$300</c:f>
              <c:numCache>
                <c:formatCode>yyyy\-mm\-dd;@</c:formatCode>
                <c:ptCount val="268"/>
                <c:pt idx="0">
                  <c:v>0</c:v>
                </c:pt>
              </c:numCache>
            </c:numRef>
          </c:cat>
          <c:val>
            <c:numRef>
              <c:f>ANR!$J$33:$J$300</c:f>
              <c:numCache>
                <c:formatCode>0.00</c:formatCode>
                <c:ptCount val="26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A93-4D92-861A-F9A52B738F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8739216"/>
        <c:axId val="2108738496"/>
      </c:lineChart>
      <c:dateAx>
        <c:axId val="2108730216"/>
        <c:scaling>
          <c:orientation val="minMax"/>
        </c:scaling>
        <c:delete val="1"/>
        <c:axPos val="b"/>
        <c:numFmt formatCode="yyyy\-mm\-dd;@" sourceLinked="1"/>
        <c:majorTickMark val="out"/>
        <c:minorTickMark val="none"/>
        <c:tickLblPos val="nextTo"/>
        <c:crossAx val="2108741016"/>
        <c:crosses val="autoZero"/>
        <c:auto val="1"/>
        <c:lblOffset val="100"/>
        <c:baseTimeUnit val="days"/>
      </c:dateAx>
      <c:valAx>
        <c:axId val="2108741016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2108730216"/>
        <c:crosses val="autoZero"/>
        <c:crossBetween val="between"/>
      </c:valAx>
      <c:valAx>
        <c:axId val="2108738496"/>
        <c:scaling>
          <c:orientation val="minMax"/>
        </c:scaling>
        <c:delete val="0"/>
        <c:axPos val="r"/>
        <c:numFmt formatCode="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2108739216"/>
        <c:crosses val="max"/>
        <c:crossBetween val="between"/>
      </c:valAx>
      <c:dateAx>
        <c:axId val="2108739216"/>
        <c:scaling>
          <c:orientation val="minMax"/>
        </c:scaling>
        <c:delete val="1"/>
        <c:axPos val="b"/>
        <c:numFmt formatCode="yyyy\-mm\-dd;@" sourceLinked="1"/>
        <c:majorTickMark val="out"/>
        <c:minorTickMark val="none"/>
        <c:tickLblPos val="nextTo"/>
        <c:crossAx val="2108738496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4027930435908117E-2"/>
          <c:y val="0.14342340236876852"/>
          <c:w val="0.9251404790311476"/>
          <c:h val="0.5419727980585034"/>
        </c:manualLayout>
      </c:layout>
      <c:areaChart>
        <c:grouping val="standard"/>
        <c:varyColors val="0"/>
        <c:ser>
          <c:idx val="0"/>
          <c:order val="0"/>
          <c:tx>
            <c:strRef>
              <c:f>ANR!$N$32</c:f>
              <c:strCache>
                <c:ptCount val="1"/>
                <c:pt idx="0">
                  <c:v>Price Spread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ANR!$H$33:$H$300</c:f>
              <c:numCache>
                <c:formatCode>yyyy\-mm\-dd;@</c:formatCode>
                <c:ptCount val="268"/>
                <c:pt idx="0">
                  <c:v>0</c:v>
                </c:pt>
              </c:numCache>
            </c:numRef>
          </c:cat>
          <c:val>
            <c:numRef>
              <c:f>ANR!$N$33:$N$314</c:f>
              <c:numCache>
                <c:formatCode>0.00</c:formatCode>
                <c:ptCount val="268"/>
              </c:numCache>
            </c:numRef>
          </c:val>
          <c:extLst>
            <c:ext xmlns:c16="http://schemas.microsoft.com/office/drawing/2014/chart" uri="{C3380CC4-5D6E-409C-BE32-E72D297353CC}">
              <c16:uniqueId val="{00000000-98E5-4D59-A831-B693E2D7F2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466383"/>
        <c:axId val="122471423"/>
      </c:areaChart>
      <c:dateAx>
        <c:axId val="1224663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409]mmm\-yy;@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122471423"/>
        <c:crosses val="autoZero"/>
        <c:auto val="1"/>
        <c:lblOffset val="100"/>
        <c:baseTimeUnit val="days"/>
      </c:dateAx>
      <c:valAx>
        <c:axId val="122471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1224663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0756833967182676"/>
          <c:y val="0.89784343967313363"/>
          <c:w val="0.18486332065634653"/>
          <c:h val="8.84108558595124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11486</xdr:colOff>
      <xdr:row>6</xdr:row>
      <xdr:rowOff>66675</xdr:rowOff>
    </xdr:from>
    <xdr:to>
      <xdr:col>13</xdr:col>
      <xdr:colOff>647699</xdr:colOff>
      <xdr:row>19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9194F2E-7FA5-4476-AEEB-37395A51FA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47625</xdr:colOff>
      <xdr:row>18</xdr:row>
      <xdr:rowOff>123825</xdr:rowOff>
    </xdr:from>
    <xdr:to>
      <xdr:col>14</xdr:col>
      <xdr:colOff>9525</xdr:colOff>
      <xdr:row>29</xdr:row>
      <xdr:rowOff>180974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BF71406-8B7F-4614-9083-3B3A7AAD26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1328457</xdr:colOff>
      <xdr:row>0</xdr:row>
      <xdr:rowOff>104775</xdr:rowOff>
    </xdr:from>
    <xdr:to>
      <xdr:col>11</xdr:col>
      <xdr:colOff>295275</xdr:colOff>
      <xdr:row>3</xdr:row>
      <xdr:rowOff>76200</xdr:rowOff>
    </xdr:to>
    <xdr:sp macro="" textlink="">
      <xdr:nvSpPr>
        <xdr:cNvPr id="4" name="BannerTitle">
          <a:extLst>
            <a:ext uri="{FF2B5EF4-FFF2-40B4-BE49-F238E27FC236}">
              <a16:creationId xmlns:a16="http://schemas.microsoft.com/office/drawing/2014/main" id="{24B62FC6-2DE8-4468-A1DD-269B25AA159A}"/>
            </a:ext>
          </a:extLst>
        </xdr:cNvPr>
        <xdr:cNvSpPr>
          <a:spLocks noChangeArrowheads="1"/>
        </xdr:cNvSpPr>
      </xdr:nvSpPr>
      <xdr:spPr bwMode="auto">
        <a:xfrm>
          <a:off x="1404657" y="104775"/>
          <a:ext cx="12844743" cy="561975"/>
        </a:xfrm>
        <a:prstGeom prst="rect">
          <a:avLst/>
        </a:prstGeom>
        <a:gradFill flip="none" rotWithShape="1">
          <a:gsLst>
            <a:gs pos="0">
              <a:schemeClr val="tx2"/>
            </a:gs>
            <a:gs pos="98000">
              <a:schemeClr val="bg1"/>
            </a:gs>
          </a:gsLst>
          <a:path path="circle">
            <a:fillToRect l="50000" t="50000" r="50000" b="50000"/>
          </a:path>
          <a:tileRect/>
        </a:gradFill>
        <a:ln w="9525">
          <a:noFill/>
          <a:miter lim="800000"/>
          <a:headEnd/>
          <a:tailEnd/>
        </a:ln>
      </xdr:spPr>
      <xdr:txBody>
        <a:bodyPr vertOverflow="clip" wrap="square" lIns="54864" tIns="50292" rIns="54864" bIns="50292" anchor="ctr" upright="1"/>
        <a:lstStyle/>
        <a:p>
          <a:pPr algn="ctr" rtl="0">
            <a:defRPr sz="1000"/>
          </a:pPr>
          <a:r>
            <a:rPr lang="en-US" sz="2800" b="1" i="0" u="none" strike="noStrike" baseline="0">
              <a:solidFill>
                <a:srgbClr val="F2F2F2"/>
              </a:solidFill>
              <a:latin typeface="Calibri"/>
            </a:rPr>
            <a:t>Analyst Recommendations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26"/>
  <sheetViews>
    <sheetView workbookViewId="0">
      <selection activeCell="B3" sqref="B3:B4"/>
    </sheetView>
  </sheetViews>
  <sheetFormatPr defaultRowHeight="14.4" x14ac:dyDescent="0.3"/>
  <cols>
    <col min="1" max="1" width="4" customWidth="1"/>
    <col min="2" max="2" width="28" customWidth="1"/>
    <col min="3" max="3" width="38" customWidth="1"/>
    <col min="4" max="4" width="22" customWidth="1"/>
    <col min="5" max="5" width="42.6640625" customWidth="1"/>
    <col min="6" max="6" width="18" customWidth="1"/>
  </cols>
  <sheetData>
    <row r="1" spans="2:6" ht="25.95" customHeight="1" x14ac:dyDescent="0.3">
      <c r="B1" s="51" t="s">
        <v>0</v>
      </c>
      <c r="C1" s="52"/>
      <c r="D1" s="52"/>
      <c r="E1" s="52"/>
      <c r="F1" s="52"/>
    </row>
    <row r="3" spans="2:6" x14ac:dyDescent="0.3">
      <c r="B3" s="1"/>
      <c r="C3" s="2" t="s">
        <v>1</v>
      </c>
    </row>
    <row r="4" spans="2:6" x14ac:dyDescent="0.3">
      <c r="B4" s="1"/>
      <c r="C4" s="2" t="s">
        <v>2</v>
      </c>
    </row>
    <row r="6" spans="2:6" x14ac:dyDescent="0.3">
      <c r="B6" s="55" t="s">
        <v>3</v>
      </c>
      <c r="C6" s="52"/>
      <c r="D6" s="52"/>
      <c r="E6" s="52"/>
      <c r="F6" s="52"/>
    </row>
    <row r="7" spans="2:6" ht="19.95" customHeight="1" x14ac:dyDescent="0.3">
      <c r="B7" s="53" t="s">
        <v>4</v>
      </c>
      <c r="C7" s="52"/>
      <c r="D7" s="52"/>
      <c r="E7" s="52"/>
      <c r="F7" s="52"/>
    </row>
    <row r="8" spans="2:6" ht="19.95" customHeight="1" x14ac:dyDescent="0.3">
      <c r="B8" s="53" t="s">
        <v>5</v>
      </c>
      <c r="C8" s="52"/>
      <c r="D8" s="52"/>
      <c r="E8" s="52"/>
      <c r="F8" s="52"/>
    </row>
    <row r="9" spans="2:6" ht="19.95" customHeight="1" x14ac:dyDescent="0.3">
      <c r="B9" s="53" t="s">
        <v>6</v>
      </c>
      <c r="C9" s="52"/>
      <c r="D9" s="52"/>
      <c r="E9" s="52"/>
      <c r="F9" s="52"/>
    </row>
    <row r="10" spans="2:6" ht="19.95" customHeight="1" x14ac:dyDescent="0.3">
      <c r="B10" s="53" t="s">
        <v>7</v>
      </c>
      <c r="C10" s="52"/>
      <c r="D10" s="52"/>
      <c r="E10" s="52"/>
      <c r="F10" s="52"/>
    </row>
    <row r="11" spans="2:6" ht="19.95" customHeight="1" x14ac:dyDescent="0.3">
      <c r="B11" s="53" t="s">
        <v>8</v>
      </c>
      <c r="C11" s="52"/>
      <c r="D11" s="52"/>
      <c r="E11" s="52"/>
      <c r="F11" s="52"/>
    </row>
    <row r="12" spans="2:6" ht="19.95" customHeight="1" x14ac:dyDescent="0.3">
      <c r="B12" s="53" t="s">
        <v>9</v>
      </c>
      <c r="C12" s="52"/>
      <c r="D12" s="52"/>
      <c r="E12" s="52"/>
      <c r="F12" s="52"/>
    </row>
    <row r="13" spans="2:6" ht="19.95" customHeight="1" x14ac:dyDescent="0.3">
      <c r="B13" s="53" t="s">
        <v>10</v>
      </c>
      <c r="C13" s="52"/>
      <c r="D13" s="52"/>
      <c r="E13" s="52"/>
      <c r="F13" s="52"/>
    </row>
    <row r="14" spans="2:6" ht="19.95" customHeight="1" x14ac:dyDescent="0.3">
      <c r="B14" s="53" t="s">
        <v>11</v>
      </c>
      <c r="C14" s="52"/>
      <c r="D14" s="52"/>
      <c r="E14" s="52"/>
      <c r="F14" s="52"/>
    </row>
    <row r="16" spans="2:6" x14ac:dyDescent="0.3">
      <c r="B16" s="55" t="s">
        <v>12</v>
      </c>
      <c r="C16" s="52"/>
      <c r="D16" s="52"/>
      <c r="E16" s="52"/>
      <c r="F16" s="52"/>
    </row>
    <row r="17" spans="2:6" x14ac:dyDescent="0.3">
      <c r="B17" s="3" t="s">
        <v>13</v>
      </c>
      <c r="C17" s="3" t="s">
        <v>14</v>
      </c>
      <c r="D17" s="3" t="s">
        <v>15</v>
      </c>
      <c r="E17" s="3" t="s">
        <v>16</v>
      </c>
      <c r="F17" s="3" t="s">
        <v>17</v>
      </c>
    </row>
    <row r="18" spans="2:6" ht="39.6" x14ac:dyDescent="0.3">
      <c r="B18" s="4" t="s">
        <v>18</v>
      </c>
      <c r="C18" s="4" t="s">
        <v>19</v>
      </c>
      <c r="D18" s="4" t="s">
        <v>20</v>
      </c>
      <c r="E18" s="4" t="s">
        <v>82</v>
      </c>
      <c r="F18" s="4" t="s">
        <v>21</v>
      </c>
    </row>
    <row r="19" spans="2:6" ht="26.4" x14ac:dyDescent="0.3">
      <c r="B19" s="4" t="s">
        <v>22</v>
      </c>
      <c r="C19" s="4" t="s">
        <v>23</v>
      </c>
      <c r="D19" s="4" t="s">
        <v>24</v>
      </c>
      <c r="E19" s="4" t="s">
        <v>25</v>
      </c>
      <c r="F19" s="4" t="s">
        <v>26</v>
      </c>
    </row>
    <row r="20" spans="2:6" ht="26.4" x14ac:dyDescent="0.3">
      <c r="B20" s="4" t="s">
        <v>27</v>
      </c>
      <c r="C20" s="4" t="s">
        <v>28</v>
      </c>
      <c r="D20" s="4" t="s">
        <v>20</v>
      </c>
      <c r="E20" s="4" t="s">
        <v>83</v>
      </c>
      <c r="F20" s="4" t="s">
        <v>29</v>
      </c>
    </row>
    <row r="21" spans="2:6" ht="26.4" x14ac:dyDescent="0.3">
      <c r="B21" s="4" t="s">
        <v>30</v>
      </c>
      <c r="C21" s="4" t="s">
        <v>31</v>
      </c>
      <c r="D21" s="4" t="s">
        <v>20</v>
      </c>
      <c r="E21" s="4" t="s">
        <v>84</v>
      </c>
      <c r="F21" s="4" t="s">
        <v>21</v>
      </c>
    </row>
    <row r="22" spans="2:6" ht="39.6" x14ac:dyDescent="0.3">
      <c r="B22" s="4" t="s">
        <v>32</v>
      </c>
      <c r="C22" s="4" t="s">
        <v>33</v>
      </c>
      <c r="D22" s="4" t="s">
        <v>20</v>
      </c>
      <c r="E22" s="4" t="s">
        <v>34</v>
      </c>
      <c r="F22" s="4" t="s">
        <v>21</v>
      </c>
    </row>
    <row r="23" spans="2:6" x14ac:dyDescent="0.3">
      <c r="B23" s="4" t="s">
        <v>35</v>
      </c>
      <c r="C23" s="4" t="s">
        <v>36</v>
      </c>
      <c r="D23" s="4" t="s">
        <v>37</v>
      </c>
      <c r="E23" s="4" t="s">
        <v>38</v>
      </c>
      <c r="F23" s="4" t="s">
        <v>39</v>
      </c>
    </row>
    <row r="24" spans="2:6" x14ac:dyDescent="0.3">
      <c r="B24" s="4" t="s">
        <v>40</v>
      </c>
      <c r="C24" s="4" t="s">
        <v>36</v>
      </c>
      <c r="D24" s="4" t="s">
        <v>37</v>
      </c>
      <c r="E24" s="4" t="s">
        <v>41</v>
      </c>
      <c r="F24" s="4" t="s">
        <v>42</v>
      </c>
    </row>
    <row r="26" spans="2:6" ht="31.95" customHeight="1" x14ac:dyDescent="0.3">
      <c r="B26" s="54" t="s">
        <v>43</v>
      </c>
      <c r="C26" s="52"/>
      <c r="D26" s="52"/>
      <c r="E26" s="52"/>
      <c r="F26" s="52"/>
    </row>
  </sheetData>
  <mergeCells count="12">
    <mergeCell ref="B1:F1"/>
    <mergeCell ref="B8:F8"/>
    <mergeCell ref="B26:F26"/>
    <mergeCell ref="B9:F9"/>
    <mergeCell ref="B13:F13"/>
    <mergeCell ref="B12:F12"/>
    <mergeCell ref="B7:F7"/>
    <mergeCell ref="B6:F6"/>
    <mergeCell ref="B16:F16"/>
    <mergeCell ref="B10:F10"/>
    <mergeCell ref="B11:F11"/>
    <mergeCell ref="B14:F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D8"/>
  <sheetViews>
    <sheetView workbookViewId="0">
      <selection activeCell="D5" sqref="D5"/>
    </sheetView>
  </sheetViews>
  <sheetFormatPr defaultRowHeight="14.4" x14ac:dyDescent="0.3"/>
  <cols>
    <col min="1" max="1" width="4" customWidth="1"/>
    <col min="2" max="2" width="38" customWidth="1"/>
    <col min="3" max="3" width="49.88671875" bestFit="1" customWidth="1"/>
    <col min="4" max="4" width="56" customWidth="1"/>
  </cols>
  <sheetData>
    <row r="1" spans="2:4" ht="24" customHeight="1" x14ac:dyDescent="0.3">
      <c r="B1" s="51" t="s">
        <v>44</v>
      </c>
      <c r="C1" s="52"/>
      <c r="D1" s="52"/>
    </row>
    <row r="3" spans="2:4" x14ac:dyDescent="0.3">
      <c r="B3" s="5" t="s">
        <v>45</v>
      </c>
      <c r="C3" s="6">
        <f>CONFIG!$B$3</f>
        <v>0</v>
      </c>
    </row>
    <row r="5" spans="2:4" x14ac:dyDescent="0.3">
      <c r="B5" s="3" t="s">
        <v>46</v>
      </c>
      <c r="C5" s="3" t="s">
        <v>47</v>
      </c>
      <c r="D5" s="3" t="s">
        <v>48</v>
      </c>
    </row>
    <row r="6" spans="2:4" x14ac:dyDescent="0.3">
      <c r="B6" s="7" t="s">
        <v>49</v>
      </c>
      <c r="C6" s="8" t="e">
        <f ca="1">_xll.BDP(CONFIG!$B$3,$D$6)</f>
        <v>#NAME?</v>
      </c>
      <c r="D6" s="9" t="s">
        <v>50</v>
      </c>
    </row>
    <row r="7" spans="2:4" x14ac:dyDescent="0.3">
      <c r="B7" s="7" t="s">
        <v>51</v>
      </c>
      <c r="C7" s="8" t="e">
        <f ca="1">_xll.BDP(CONFIG!$B$3,$D$7)</f>
        <v>#NAME?</v>
      </c>
      <c r="D7" s="9" t="s">
        <v>52</v>
      </c>
    </row>
    <row r="8" spans="2:4" x14ac:dyDescent="0.3">
      <c r="B8" s="7" t="s">
        <v>53</v>
      </c>
      <c r="C8" s="8" t="e" cm="1">
        <f t="array" aca="1" ref="C8" ca="1">_xll.BDP(CONFIG!$B$3,$D$8)</f>
        <v>#NAME?</v>
      </c>
      <c r="D8" s="9" t="s">
        <v>79</v>
      </c>
    </row>
  </sheetData>
  <mergeCells count="1">
    <mergeCell ref="B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H85"/>
  <sheetViews>
    <sheetView workbookViewId="0">
      <selection activeCell="K4" sqref="K4"/>
    </sheetView>
  </sheetViews>
  <sheetFormatPr defaultRowHeight="14.4" x14ac:dyDescent="0.3"/>
  <cols>
    <col min="1" max="1" width="4" customWidth="1"/>
    <col min="2" max="2" width="16" customWidth="1"/>
    <col min="3" max="5" width="14" customWidth="1"/>
    <col min="6" max="6" width="12" customWidth="1"/>
    <col min="7" max="7" width="14" customWidth="1"/>
    <col min="8" max="8" width="16" customWidth="1"/>
  </cols>
  <sheetData>
    <row r="1" spans="2:8" ht="24" customHeight="1" x14ac:dyDescent="0.3">
      <c r="B1" s="51" t="s">
        <v>54</v>
      </c>
      <c r="C1" s="52"/>
      <c r="D1" s="52"/>
      <c r="E1" s="52"/>
      <c r="F1" s="52"/>
      <c r="G1" s="52"/>
      <c r="H1" s="52"/>
    </row>
    <row r="3" spans="2:8" x14ac:dyDescent="0.3">
      <c r="B3" s="5" t="s">
        <v>45</v>
      </c>
      <c r="C3" s="6">
        <f>CONFIG!$B$3</f>
        <v>0</v>
      </c>
      <c r="E3" s="57" t="s">
        <v>48</v>
      </c>
      <c r="F3" s="57"/>
      <c r="G3" t="s">
        <v>80</v>
      </c>
    </row>
    <row r="4" spans="2:8" ht="28.2" customHeight="1" x14ac:dyDescent="0.3">
      <c r="B4" s="56" t="s">
        <v>55</v>
      </c>
      <c r="C4" s="52"/>
      <c r="D4" s="52"/>
      <c r="E4" s="52"/>
      <c r="F4" s="52"/>
      <c r="G4" s="52"/>
      <c r="H4" s="52"/>
    </row>
    <row r="5" spans="2:8" x14ac:dyDescent="0.3">
      <c r="B5" s="3" t="s">
        <v>56</v>
      </c>
      <c r="C5" s="3" t="s">
        <v>57</v>
      </c>
      <c r="D5" s="3" t="s">
        <v>58</v>
      </c>
      <c r="E5" s="3" t="s">
        <v>59</v>
      </c>
      <c r="F5" s="3" t="s">
        <v>60</v>
      </c>
      <c r="G5" s="3" t="s">
        <v>17</v>
      </c>
      <c r="H5" s="3" t="s">
        <v>61</v>
      </c>
    </row>
    <row r="6" spans="2:8" x14ac:dyDescent="0.3">
      <c r="B6" s="11" t="e" cm="1">
        <f t="array" aca="1" ref="B6" ca="1">_xll.BDS(CONFIG!$B$3,"DVD_HIST_ALL")</f>
        <v>#NAME?</v>
      </c>
      <c r="C6" s="12"/>
      <c r="D6" s="12"/>
      <c r="E6" s="12"/>
    </row>
    <row r="7" spans="2:8" x14ac:dyDescent="0.3">
      <c r="B7" s="12"/>
      <c r="C7" s="12"/>
      <c r="D7" s="12"/>
      <c r="E7" s="12"/>
    </row>
    <row r="8" spans="2:8" x14ac:dyDescent="0.3">
      <c r="B8" s="12"/>
      <c r="C8" s="12"/>
      <c r="D8" s="12"/>
      <c r="E8" s="12"/>
    </row>
    <row r="9" spans="2:8" x14ac:dyDescent="0.3">
      <c r="B9" s="12"/>
      <c r="C9" s="12"/>
      <c r="D9" s="12"/>
      <c r="E9" s="12"/>
    </row>
    <row r="10" spans="2:8" x14ac:dyDescent="0.3">
      <c r="B10" s="12"/>
      <c r="C10" s="12"/>
      <c r="D10" s="12"/>
      <c r="E10" s="12"/>
    </row>
    <row r="11" spans="2:8" x14ac:dyDescent="0.3">
      <c r="B11" s="12"/>
      <c r="C11" s="12"/>
      <c r="D11" s="12"/>
      <c r="E11" s="12"/>
    </row>
    <row r="12" spans="2:8" x14ac:dyDescent="0.3">
      <c r="B12" s="12"/>
      <c r="C12" s="12"/>
      <c r="D12" s="12"/>
      <c r="E12" s="12"/>
    </row>
    <row r="13" spans="2:8" x14ac:dyDescent="0.3">
      <c r="B13" s="12"/>
      <c r="C13" s="12"/>
      <c r="D13" s="12"/>
      <c r="E13" s="12"/>
    </row>
    <row r="14" spans="2:8" x14ac:dyDescent="0.3">
      <c r="B14" s="12"/>
      <c r="C14" s="12"/>
      <c r="D14" s="12"/>
      <c r="E14" s="12"/>
    </row>
    <row r="15" spans="2:8" x14ac:dyDescent="0.3">
      <c r="B15" s="12"/>
      <c r="C15" s="12"/>
      <c r="D15" s="12"/>
      <c r="E15" s="12"/>
    </row>
    <row r="16" spans="2:8" x14ac:dyDescent="0.3">
      <c r="B16" s="12"/>
      <c r="C16" s="12"/>
      <c r="D16" s="12"/>
      <c r="E16" s="12"/>
    </row>
    <row r="17" spans="2:5" x14ac:dyDescent="0.3">
      <c r="B17" s="12"/>
      <c r="C17" s="12"/>
      <c r="D17" s="12"/>
      <c r="E17" s="12"/>
    </row>
    <row r="18" spans="2:5" x14ac:dyDescent="0.3">
      <c r="B18" s="12"/>
      <c r="C18" s="12"/>
      <c r="D18" s="12"/>
      <c r="E18" s="12"/>
    </row>
    <row r="19" spans="2:5" x14ac:dyDescent="0.3">
      <c r="B19" s="12"/>
      <c r="C19" s="12"/>
      <c r="D19" s="12"/>
      <c r="E19" s="12"/>
    </row>
    <row r="20" spans="2:5" x14ac:dyDescent="0.3">
      <c r="B20" s="12"/>
      <c r="C20" s="12"/>
      <c r="D20" s="12"/>
      <c r="E20" s="12"/>
    </row>
    <row r="21" spans="2:5" x14ac:dyDescent="0.3">
      <c r="B21" s="12"/>
      <c r="C21" s="12"/>
      <c r="D21" s="12"/>
      <c r="E21" s="12"/>
    </row>
    <row r="22" spans="2:5" x14ac:dyDescent="0.3">
      <c r="B22" s="12"/>
      <c r="C22" s="12"/>
      <c r="D22" s="12"/>
      <c r="E22" s="12"/>
    </row>
    <row r="23" spans="2:5" x14ac:dyDescent="0.3">
      <c r="B23" s="12"/>
      <c r="C23" s="12"/>
      <c r="D23" s="12"/>
      <c r="E23" s="12"/>
    </row>
    <row r="24" spans="2:5" x14ac:dyDescent="0.3">
      <c r="B24" s="12"/>
      <c r="C24" s="12"/>
      <c r="D24" s="12"/>
      <c r="E24" s="12"/>
    </row>
    <row r="25" spans="2:5" x14ac:dyDescent="0.3">
      <c r="B25" s="12"/>
      <c r="C25" s="12"/>
      <c r="D25" s="12"/>
      <c r="E25" s="12"/>
    </row>
    <row r="26" spans="2:5" x14ac:dyDescent="0.3">
      <c r="B26" s="12"/>
      <c r="C26" s="12"/>
      <c r="D26" s="12"/>
      <c r="E26" s="12"/>
    </row>
    <row r="27" spans="2:5" x14ac:dyDescent="0.3">
      <c r="B27" s="12"/>
      <c r="C27" s="12"/>
      <c r="D27" s="12"/>
      <c r="E27" s="12"/>
    </row>
    <row r="28" spans="2:5" x14ac:dyDescent="0.3">
      <c r="B28" s="12"/>
      <c r="C28" s="12"/>
      <c r="D28" s="12"/>
      <c r="E28" s="12"/>
    </row>
    <row r="29" spans="2:5" x14ac:dyDescent="0.3">
      <c r="B29" s="12"/>
      <c r="C29" s="12"/>
      <c r="D29" s="12"/>
      <c r="E29" s="12"/>
    </row>
    <row r="30" spans="2:5" x14ac:dyDescent="0.3">
      <c r="B30" s="12"/>
      <c r="C30" s="12"/>
      <c r="D30" s="12"/>
      <c r="E30" s="12"/>
    </row>
    <row r="31" spans="2:5" x14ac:dyDescent="0.3">
      <c r="B31" s="12"/>
      <c r="C31" s="12"/>
      <c r="D31" s="12"/>
      <c r="E31" s="12"/>
    </row>
    <row r="32" spans="2:5" x14ac:dyDescent="0.3">
      <c r="B32" s="12"/>
      <c r="C32" s="12"/>
      <c r="D32" s="12"/>
      <c r="E32" s="12"/>
    </row>
    <row r="33" spans="2:5" x14ac:dyDescent="0.3">
      <c r="B33" s="12"/>
      <c r="C33" s="12"/>
      <c r="D33" s="12"/>
      <c r="E33" s="12"/>
    </row>
    <row r="34" spans="2:5" x14ac:dyDescent="0.3">
      <c r="B34" s="12"/>
      <c r="C34" s="12"/>
      <c r="D34" s="12"/>
      <c r="E34" s="12"/>
    </row>
    <row r="35" spans="2:5" x14ac:dyDescent="0.3">
      <c r="B35" s="12"/>
      <c r="C35" s="12"/>
      <c r="D35" s="12"/>
      <c r="E35" s="12"/>
    </row>
    <row r="36" spans="2:5" x14ac:dyDescent="0.3">
      <c r="B36" s="12"/>
      <c r="C36" s="12"/>
      <c r="D36" s="12"/>
      <c r="E36" s="12"/>
    </row>
    <row r="37" spans="2:5" x14ac:dyDescent="0.3">
      <c r="B37" s="12"/>
      <c r="C37" s="12"/>
      <c r="D37" s="12"/>
      <c r="E37" s="12"/>
    </row>
    <row r="38" spans="2:5" x14ac:dyDescent="0.3">
      <c r="B38" s="12"/>
      <c r="C38" s="12"/>
      <c r="D38" s="12"/>
      <c r="E38" s="12"/>
    </row>
    <row r="39" spans="2:5" x14ac:dyDescent="0.3">
      <c r="B39" s="12"/>
      <c r="C39" s="12"/>
      <c r="D39" s="12"/>
      <c r="E39" s="12"/>
    </row>
    <row r="40" spans="2:5" x14ac:dyDescent="0.3">
      <c r="B40" s="12"/>
      <c r="C40" s="12"/>
      <c r="D40" s="12"/>
      <c r="E40" s="12"/>
    </row>
    <row r="41" spans="2:5" x14ac:dyDescent="0.3">
      <c r="B41" s="12"/>
      <c r="C41" s="12"/>
      <c r="D41" s="12"/>
      <c r="E41" s="12"/>
    </row>
    <row r="42" spans="2:5" x14ac:dyDescent="0.3">
      <c r="B42" s="12"/>
      <c r="C42" s="12"/>
      <c r="D42" s="12"/>
      <c r="E42" s="12"/>
    </row>
    <row r="43" spans="2:5" x14ac:dyDescent="0.3">
      <c r="B43" s="12"/>
      <c r="C43" s="12"/>
      <c r="D43" s="12"/>
      <c r="E43" s="12"/>
    </row>
    <row r="44" spans="2:5" x14ac:dyDescent="0.3">
      <c r="B44" s="12"/>
      <c r="C44" s="12"/>
      <c r="D44" s="12"/>
      <c r="E44" s="12"/>
    </row>
    <row r="45" spans="2:5" x14ac:dyDescent="0.3">
      <c r="B45" s="12"/>
      <c r="C45" s="12"/>
      <c r="D45" s="12"/>
      <c r="E45" s="12"/>
    </row>
    <row r="46" spans="2:5" x14ac:dyDescent="0.3">
      <c r="B46" s="12"/>
      <c r="C46" s="12"/>
      <c r="D46" s="12"/>
      <c r="E46" s="12"/>
    </row>
    <row r="47" spans="2:5" x14ac:dyDescent="0.3">
      <c r="B47" s="12"/>
      <c r="C47" s="12"/>
      <c r="D47" s="12"/>
      <c r="E47" s="12"/>
    </row>
    <row r="48" spans="2:5" x14ac:dyDescent="0.3">
      <c r="B48" s="12"/>
      <c r="C48" s="12"/>
      <c r="D48" s="12"/>
      <c r="E48" s="12"/>
    </row>
    <row r="49" spans="2:5" x14ac:dyDescent="0.3">
      <c r="B49" s="12"/>
      <c r="C49" s="12"/>
      <c r="D49" s="12"/>
      <c r="E49" s="12"/>
    </row>
    <row r="50" spans="2:5" x14ac:dyDescent="0.3">
      <c r="B50" s="12"/>
      <c r="C50" s="12"/>
      <c r="D50" s="12"/>
      <c r="E50" s="12"/>
    </row>
    <row r="51" spans="2:5" x14ac:dyDescent="0.3">
      <c r="B51" s="12"/>
      <c r="C51" s="12"/>
      <c r="D51" s="12"/>
      <c r="E51" s="12"/>
    </row>
    <row r="52" spans="2:5" x14ac:dyDescent="0.3">
      <c r="B52" s="12"/>
      <c r="C52" s="12"/>
      <c r="D52" s="12"/>
      <c r="E52" s="12"/>
    </row>
    <row r="53" spans="2:5" x14ac:dyDescent="0.3">
      <c r="B53" s="12"/>
      <c r="C53" s="12"/>
      <c r="D53" s="12"/>
      <c r="E53" s="12"/>
    </row>
    <row r="54" spans="2:5" x14ac:dyDescent="0.3">
      <c r="B54" s="12"/>
      <c r="C54" s="12"/>
      <c r="D54" s="12"/>
      <c r="E54" s="12"/>
    </row>
    <row r="55" spans="2:5" x14ac:dyDescent="0.3">
      <c r="B55" s="12"/>
      <c r="C55" s="12"/>
      <c r="D55" s="12"/>
      <c r="E55" s="12"/>
    </row>
    <row r="56" spans="2:5" x14ac:dyDescent="0.3">
      <c r="B56" s="12"/>
      <c r="C56" s="12"/>
      <c r="D56" s="12"/>
      <c r="E56" s="12"/>
    </row>
    <row r="57" spans="2:5" x14ac:dyDescent="0.3">
      <c r="B57" s="12"/>
      <c r="C57" s="12"/>
      <c r="D57" s="12"/>
      <c r="E57" s="12"/>
    </row>
    <row r="58" spans="2:5" x14ac:dyDescent="0.3">
      <c r="B58" s="12"/>
      <c r="C58" s="12"/>
      <c r="D58" s="12"/>
      <c r="E58" s="12"/>
    </row>
    <row r="59" spans="2:5" x14ac:dyDescent="0.3">
      <c r="B59" s="12"/>
      <c r="C59" s="12"/>
      <c r="D59" s="12"/>
      <c r="E59" s="12"/>
    </row>
    <row r="60" spans="2:5" x14ac:dyDescent="0.3">
      <c r="B60" s="12"/>
      <c r="C60" s="12"/>
      <c r="D60" s="12"/>
      <c r="E60" s="12"/>
    </row>
    <row r="61" spans="2:5" x14ac:dyDescent="0.3">
      <c r="B61" s="12"/>
      <c r="C61" s="12"/>
      <c r="D61" s="12"/>
      <c r="E61" s="12"/>
    </row>
    <row r="62" spans="2:5" x14ac:dyDescent="0.3">
      <c r="B62" s="12"/>
      <c r="C62" s="12"/>
      <c r="D62" s="12"/>
      <c r="E62" s="12"/>
    </row>
    <row r="63" spans="2:5" x14ac:dyDescent="0.3">
      <c r="B63" s="12"/>
      <c r="C63" s="12"/>
      <c r="D63" s="12"/>
      <c r="E63" s="12"/>
    </row>
    <row r="64" spans="2:5" x14ac:dyDescent="0.3">
      <c r="B64" s="12"/>
      <c r="C64" s="12"/>
      <c r="D64" s="12"/>
      <c r="E64" s="12"/>
    </row>
    <row r="65" spans="2:5" x14ac:dyDescent="0.3">
      <c r="B65" s="12"/>
      <c r="C65" s="12"/>
      <c r="D65" s="12"/>
      <c r="E65" s="12"/>
    </row>
    <row r="66" spans="2:5" x14ac:dyDescent="0.3">
      <c r="B66" s="12"/>
      <c r="C66" s="12"/>
      <c r="D66" s="12"/>
      <c r="E66" s="12"/>
    </row>
    <row r="67" spans="2:5" x14ac:dyDescent="0.3">
      <c r="B67" s="12"/>
      <c r="C67" s="12"/>
      <c r="D67" s="12"/>
      <c r="E67" s="12"/>
    </row>
    <row r="68" spans="2:5" x14ac:dyDescent="0.3">
      <c r="B68" s="12"/>
      <c r="C68" s="12"/>
      <c r="D68" s="12"/>
      <c r="E68" s="12"/>
    </row>
    <row r="69" spans="2:5" x14ac:dyDescent="0.3">
      <c r="B69" s="12"/>
      <c r="C69" s="12"/>
      <c r="D69" s="12"/>
      <c r="E69" s="12"/>
    </row>
    <row r="70" spans="2:5" x14ac:dyDescent="0.3">
      <c r="B70" s="12"/>
      <c r="C70" s="12"/>
      <c r="D70" s="12"/>
      <c r="E70" s="12"/>
    </row>
    <row r="71" spans="2:5" x14ac:dyDescent="0.3">
      <c r="B71" s="12"/>
      <c r="C71" s="12"/>
      <c r="D71" s="12"/>
      <c r="E71" s="12"/>
    </row>
    <row r="72" spans="2:5" x14ac:dyDescent="0.3">
      <c r="B72" s="12"/>
      <c r="C72" s="12"/>
      <c r="D72" s="12"/>
      <c r="E72" s="12"/>
    </row>
    <row r="73" spans="2:5" x14ac:dyDescent="0.3">
      <c r="B73" s="12"/>
      <c r="C73" s="12"/>
      <c r="D73" s="12"/>
      <c r="E73" s="12"/>
    </row>
    <row r="74" spans="2:5" x14ac:dyDescent="0.3">
      <c r="B74" s="12"/>
      <c r="C74" s="12"/>
      <c r="D74" s="12"/>
      <c r="E74" s="12"/>
    </row>
    <row r="75" spans="2:5" x14ac:dyDescent="0.3">
      <c r="B75" s="12"/>
      <c r="C75" s="12"/>
      <c r="D75" s="12"/>
      <c r="E75" s="12"/>
    </row>
    <row r="76" spans="2:5" x14ac:dyDescent="0.3">
      <c r="B76" s="12"/>
      <c r="C76" s="12"/>
      <c r="D76" s="12"/>
      <c r="E76" s="12"/>
    </row>
    <row r="77" spans="2:5" x14ac:dyDescent="0.3">
      <c r="B77" s="12"/>
      <c r="C77" s="12"/>
      <c r="D77" s="12"/>
      <c r="E77" s="12"/>
    </row>
    <row r="78" spans="2:5" x14ac:dyDescent="0.3">
      <c r="B78" s="12"/>
      <c r="C78" s="12"/>
      <c r="D78" s="12"/>
      <c r="E78" s="12"/>
    </row>
    <row r="79" spans="2:5" x14ac:dyDescent="0.3">
      <c r="B79" s="12"/>
      <c r="C79" s="12"/>
      <c r="D79" s="12"/>
      <c r="E79" s="12"/>
    </row>
    <row r="80" spans="2:5" x14ac:dyDescent="0.3">
      <c r="B80" s="12"/>
      <c r="C80" s="12"/>
      <c r="D80" s="12"/>
      <c r="E80" s="12"/>
    </row>
    <row r="81" spans="2:5" x14ac:dyDescent="0.3">
      <c r="B81" s="12"/>
      <c r="C81" s="12"/>
      <c r="D81" s="12"/>
      <c r="E81" s="12"/>
    </row>
    <row r="82" spans="2:5" x14ac:dyDescent="0.3">
      <c r="B82" s="12"/>
      <c r="C82" s="12"/>
      <c r="D82" s="12"/>
      <c r="E82" s="12"/>
    </row>
    <row r="83" spans="2:5" x14ac:dyDescent="0.3">
      <c r="B83" s="12"/>
      <c r="C83" s="12"/>
      <c r="D83" s="12"/>
      <c r="E83" s="12"/>
    </row>
    <row r="84" spans="2:5" x14ac:dyDescent="0.3">
      <c r="B84" s="12"/>
      <c r="C84" s="12"/>
      <c r="D84" s="12"/>
      <c r="E84" s="12"/>
    </row>
    <row r="85" spans="2:5" x14ac:dyDescent="0.3">
      <c r="B85" s="12"/>
      <c r="C85" s="12"/>
      <c r="D85" s="12"/>
      <c r="E85" s="12"/>
    </row>
  </sheetData>
  <mergeCells count="3">
    <mergeCell ref="B1:H1"/>
    <mergeCell ref="B4:H4"/>
    <mergeCell ref="E3:F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1"/>
  <sheetViews>
    <sheetView workbookViewId="0">
      <selection activeCell="D8" sqref="D8"/>
    </sheetView>
  </sheetViews>
  <sheetFormatPr defaultRowHeight="14.4" x14ac:dyDescent="0.3"/>
  <cols>
    <col min="1" max="1" width="4" customWidth="1"/>
    <col min="2" max="2" width="38" customWidth="1"/>
    <col min="3" max="3" width="22" customWidth="1"/>
    <col min="4" max="4" width="56" customWidth="1"/>
  </cols>
  <sheetData>
    <row r="1" spans="2:4" ht="24" customHeight="1" x14ac:dyDescent="0.3">
      <c r="B1" s="51" t="s">
        <v>62</v>
      </c>
      <c r="C1" s="52"/>
      <c r="D1" s="52"/>
    </row>
    <row r="3" spans="2:4" x14ac:dyDescent="0.3">
      <c r="B3" s="5" t="s">
        <v>45</v>
      </c>
      <c r="C3" s="6">
        <f>CONFIG!$B$3</f>
        <v>0</v>
      </c>
    </row>
    <row r="4" spans="2:4" x14ac:dyDescent="0.3">
      <c r="B4" s="5" t="s">
        <v>63</v>
      </c>
      <c r="C4" s="6">
        <f>CONFIG!$B$4</f>
        <v>0</v>
      </c>
    </row>
    <row r="6" spans="2:4" x14ac:dyDescent="0.3">
      <c r="B6" s="3" t="s">
        <v>46</v>
      </c>
      <c r="C6" s="3" t="s">
        <v>47</v>
      </c>
      <c r="D6" s="3" t="s">
        <v>48</v>
      </c>
    </row>
    <row r="7" spans="2:4" x14ac:dyDescent="0.3">
      <c r="B7" s="7" t="s">
        <v>64</v>
      </c>
      <c r="C7" s="10" t="e">
        <f ca="1">_xll.BDP(CONFIG!$B$3,$D$7,"BEST_FPERIOD_OVERRIDE","1FY","EQY_FUND_CRNCY",CONFIG!$B$4)</f>
        <v>#NAME?</v>
      </c>
      <c r="D7" s="9" t="s">
        <v>65</v>
      </c>
    </row>
    <row r="8" spans="2:4" x14ac:dyDescent="0.3">
      <c r="B8" s="7" t="s">
        <v>66</v>
      </c>
      <c r="C8" s="10" t="e">
        <f ca="1">_xll.BDP(CONFIG!$B$3,$D$8)%</f>
        <v>#NAME?</v>
      </c>
      <c r="D8" s="9" t="s">
        <v>81</v>
      </c>
    </row>
    <row r="9" spans="2:4" x14ac:dyDescent="0.3">
      <c r="B9" s="7" t="s">
        <v>67</v>
      </c>
      <c r="C9" s="10" t="e">
        <f ca="1">_xll.BDP(CONFIG!$B$3,$D$9,"BEST_FPERIOD_OVERRIDE","1FY","EQY_FUND_CRNCY",CONFIG!$B$4)</f>
        <v>#NAME?</v>
      </c>
      <c r="D9" s="9" t="s">
        <v>68</v>
      </c>
    </row>
    <row r="10" spans="2:4" x14ac:dyDescent="0.3">
      <c r="B10" s="7" t="s">
        <v>69</v>
      </c>
      <c r="C10" s="10" t="e">
        <f ca="1">_xll.BDP(CONFIG!$B$3,$D$10,"BEST_FPERIOD_OVERRIDE","1FY","EQY_FUND_CRNCY",CONFIG!$B$4)</f>
        <v>#NAME?</v>
      </c>
      <c r="D10" s="9" t="s">
        <v>70</v>
      </c>
    </row>
    <row r="11" spans="2:4" x14ac:dyDescent="0.3">
      <c r="B11" s="7" t="s">
        <v>71</v>
      </c>
      <c r="C11" s="10" t="e">
        <f ca="1">_xll.BDP(CONFIG!$B$3,$D$11)</f>
        <v>#NAME?</v>
      </c>
      <c r="D11" s="9" t="s">
        <v>72</v>
      </c>
    </row>
  </sheetData>
  <mergeCells count="1">
    <mergeCell ref="B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77835-1F8F-468C-AA4B-C8F0702D18CD}">
  <sheetPr codeName="Sheet1"/>
  <dimension ref="A1:V314"/>
  <sheetViews>
    <sheetView showGridLines="0" tabSelected="1" zoomScaleNormal="100" workbookViewId="0">
      <selection activeCell="C6" sqref="C6"/>
    </sheetView>
  </sheetViews>
  <sheetFormatPr defaultColWidth="0" defaultRowHeight="15" customHeight="1" zeroHeight="1" x14ac:dyDescent="0.3"/>
  <cols>
    <col min="1" max="1" width="1.109375" style="13" customWidth="1"/>
    <col min="2" max="2" width="35.5546875" style="13" bestFit="1" customWidth="1"/>
    <col min="3" max="4" width="29.5546875" style="13" customWidth="1"/>
    <col min="5" max="5" width="25.44140625" style="13" customWidth="1"/>
    <col min="6" max="6" width="19.109375" style="13" customWidth="1"/>
    <col min="7" max="7" width="5.88671875" style="13" customWidth="1"/>
    <col min="8" max="8" width="23.5546875" style="13" bestFit="1" customWidth="1"/>
    <col min="9" max="9" width="17.44140625" style="13" bestFit="1" customWidth="1"/>
    <col min="10" max="10" width="11.44140625" style="14" bestFit="1" customWidth="1"/>
    <col min="11" max="11" width="10.5546875" style="14" bestFit="1" customWidth="1"/>
    <col min="12" max="12" width="10.88671875" style="14" customWidth="1"/>
    <col min="13" max="13" width="10.44140625" style="13" bestFit="1" customWidth="1"/>
    <col min="14" max="14" width="11.44140625" style="13" bestFit="1" customWidth="1"/>
    <col min="15" max="15" width="8.5546875" style="13" bestFit="1" customWidth="1"/>
    <col min="16" max="16" width="7" style="13" bestFit="1" customWidth="1"/>
    <col min="17" max="17" width="7.5546875" style="13" bestFit="1" customWidth="1"/>
    <col min="18" max="18" width="7" style="13" bestFit="1" customWidth="1"/>
    <col min="19" max="19" width="11" style="18" bestFit="1" customWidth="1"/>
    <col min="20" max="20" width="10.5546875" style="19" bestFit="1" customWidth="1"/>
    <col min="21" max="22" width="9" style="13" customWidth="1"/>
    <col min="23" max="16384" width="9" style="13" hidden="1"/>
  </cols>
  <sheetData>
    <row r="1" spans="2:20" ht="15.6" x14ac:dyDescent="0.3">
      <c r="K1" s="15"/>
      <c r="L1" s="15"/>
      <c r="M1" s="15"/>
      <c r="N1" s="15"/>
      <c r="P1" s="16"/>
      <c r="S1" s="13"/>
      <c r="T1" s="13"/>
    </row>
    <row r="2" spans="2:20" ht="15.6" x14ac:dyDescent="0.3">
      <c r="K2" s="13"/>
      <c r="L2" s="13"/>
      <c r="O2" s="17"/>
      <c r="P2" s="16"/>
      <c r="S2" s="13"/>
      <c r="T2" s="13"/>
    </row>
    <row r="3" spans="2:20" ht="14.4" x14ac:dyDescent="0.3">
      <c r="J3" s="13"/>
      <c r="K3" s="13"/>
      <c r="L3" s="13"/>
      <c r="S3" s="13"/>
      <c r="T3" s="13"/>
    </row>
    <row r="4" spans="2:20" ht="14.4" x14ac:dyDescent="0.3">
      <c r="J4" s="13"/>
      <c r="K4" s="13"/>
      <c r="L4" s="13"/>
      <c r="S4" s="13"/>
      <c r="T4" s="13"/>
    </row>
    <row r="5" spans="2:20" ht="15" customHeight="1" x14ac:dyDescent="0.3">
      <c r="B5" s="46" t="s">
        <v>85</v>
      </c>
      <c r="C5" s="46"/>
      <c r="D5" s="46"/>
      <c r="E5" s="46"/>
      <c r="J5" s="13"/>
      <c r="K5" s="13"/>
      <c r="L5" s="13"/>
    </row>
    <row r="6" spans="2:20" ht="15.6" x14ac:dyDescent="0.3">
      <c r="B6" s="20" t="s">
        <v>45</v>
      </c>
      <c r="C6" s="21">
        <f>CONFIG!$B$3</f>
        <v>0</v>
      </c>
      <c r="D6" s="20" t="s">
        <v>86</v>
      </c>
      <c r="E6" s="22">
        <f ca="1">TODAY()</f>
        <v>46150</v>
      </c>
      <c r="H6" s="47" t="s">
        <v>87</v>
      </c>
      <c r="I6" s="47"/>
      <c r="J6" s="47"/>
      <c r="K6" s="47"/>
      <c r="L6" s="48"/>
      <c r="M6" s="49" t="s">
        <v>88</v>
      </c>
      <c r="N6" s="50"/>
    </row>
    <row r="7" spans="2:20" ht="14.4" x14ac:dyDescent="0.3">
      <c r="J7" s="13"/>
      <c r="K7" s="13"/>
      <c r="L7" s="13"/>
    </row>
    <row r="8" spans="2:20" ht="15.6" x14ac:dyDescent="0.3">
      <c r="B8" s="20" t="s">
        <v>89</v>
      </c>
      <c r="C8" s="23" t="e" cm="1">
        <f t="array" aca="1" ref="C8" ca="1">_xll.BQL($C$6,"#BuyPct","#AsofDate",_xll.BQL.DATE($E$6),"#BuyPct=TOT_BUY_REC(Dates=#AsofDate) / TOT_ANALYST_REC(Dates=#AsofDate)","Fill=Prev")</f>
        <v>#NAME?</v>
      </c>
      <c r="D8" s="20" t="s">
        <v>90</v>
      </c>
      <c r="E8" s="24" t="e" cm="1">
        <f t="array" aca="1" ref="E8" ca="1">_xll.BQL($C$6,"#Buy","#AsofDate",_xll.BQL.DATE($E$6),"#Buy=TOT_BUY_REC(Dates=#AsofDate)","Fill=Prev")</f>
        <v>#NAME?</v>
      </c>
      <c r="J8" s="13"/>
      <c r="K8" s="13"/>
      <c r="L8" s="13"/>
    </row>
    <row r="9" spans="2:20" ht="15.75" customHeight="1" x14ac:dyDescent="0.3">
      <c r="B9" s="20" t="s">
        <v>91</v>
      </c>
      <c r="C9" s="23" t="e" cm="1">
        <f t="array" aca="1" ref="C9" ca="1">_xll.BQL($C$6,"#HoldPct","#AsofDate",_xll.BQL.DATE($E$6),"#HoldPct=TOT_HOLD_REC(Dates=#AsofDate) / TOT_ANALYST_REC(Dates=#AsofDate)","Fill=Prev")</f>
        <v>#NAME?</v>
      </c>
      <c r="D9" s="20" t="s">
        <v>92</v>
      </c>
      <c r="E9" s="24" t="e" cm="1">
        <f t="array" aca="1" ref="E9" ca="1">_xll.BQL($C$6,"#Hold","#AsofDate",_xll.BQL.DATE($E$6),"#Hold=TOT_HOLD_REC(Dates=#AsofDate)","Fill=Prev")</f>
        <v>#NAME?</v>
      </c>
      <c r="J9" s="13"/>
      <c r="K9" s="13"/>
      <c r="L9" s="13"/>
    </row>
    <row r="10" spans="2:20" ht="15.6" x14ac:dyDescent="0.3">
      <c r="B10" s="20" t="s">
        <v>93</v>
      </c>
      <c r="C10" s="23" t="e" cm="1">
        <f t="array" aca="1" ref="C10" ca="1">_xll.BQL($C$6,"#SellPct","#AsofDate",_xll.BQL.DATE($E$6),"#SellPct=TOT_SELL_REC(Dates=#AsofDate) / TOT_ANALYST_REC(Dates=#AsofDate)","Fill=Prev")</f>
        <v>#NAME?</v>
      </c>
      <c r="D10" s="20" t="s">
        <v>94</v>
      </c>
      <c r="E10" s="24" t="e" cm="1">
        <f t="array" aca="1" ref="E10" ca="1">_xll.BQL($C$6,"#Sell","#AsofDate",_xll.BQL.DATE($E$6),"#Sell=TOT_SELL_REC(Dates=#AsofDate)","Fill=Prev")</f>
        <v>#NAME?</v>
      </c>
      <c r="J10" s="13"/>
      <c r="K10" s="13"/>
      <c r="L10" s="13"/>
    </row>
    <row r="11" spans="2:20" ht="15.6" x14ac:dyDescent="0.3">
      <c r="B11" s="20" t="s">
        <v>95</v>
      </c>
      <c r="C11" s="25" t="e" cm="1">
        <f t="array" aca="1" ref="C11" ca="1">_xll.BQL($C$6, "EQY_REC_CONS(Dates=#AsofDate)","#AsofDate",_xll.BQL.DATE($E$6))</f>
        <v>#NAME?</v>
      </c>
      <c r="D11" s="20" t="s">
        <v>63</v>
      </c>
      <c r="E11" s="25" t="e" cm="1">
        <f t="array" aca="1" ref="E11" ca="1">_xll.BQL($C$6,"PX_LAST().currency")</f>
        <v>#NAME?</v>
      </c>
      <c r="J11" s="13"/>
      <c r="K11" s="13"/>
      <c r="L11" s="13"/>
    </row>
    <row r="12" spans="2:20" ht="15.6" x14ac:dyDescent="0.3">
      <c r="B12" s="20" t="s">
        <v>96</v>
      </c>
      <c r="C12" s="25" t="e" cm="1">
        <f t="array" aca="1" ref="C12" ca="1">_xll.BQL($C$6, "LAST(#12MTgtPrice)","#Period",_xlfn.SINGLE(_xll.BQL.DATE($E$6))&amp;" -"&amp;$M$6,"#Date",_xll.BQL.DATE($E$6),"#12MTgtPrice = DROPNA(BEST_TARGET_PRICE(Dates=Range(#Period,#Date)))")</f>
        <v>#NAME?</v>
      </c>
      <c r="D12" s="20" t="s">
        <v>97</v>
      </c>
      <c r="E12" s="26" t="e" cm="1">
        <f t="array" aca="1" ref="E12" ca="1">_xll.BQL($C$6,"PX_LAST(Dates=#AsofDate)","#AsofDate",_xll.BQL.DATE($E$6),"Fill=Prev","XlFill=0")</f>
        <v>#NAME?</v>
      </c>
      <c r="J12" s="13"/>
      <c r="K12" s="13"/>
      <c r="L12" s="13"/>
    </row>
    <row r="13" spans="2:20" ht="15.6" x14ac:dyDescent="0.3">
      <c r="B13" s="20" t="s">
        <v>98</v>
      </c>
      <c r="C13" s="27" t="str">
        <f ca="1">IFERROR(($C$12-$E$12)/$E$12,"-")</f>
        <v>-</v>
      </c>
      <c r="D13" s="20" t="s">
        <v>99</v>
      </c>
      <c r="E13" s="27" t="e" cm="1">
        <f t="array" aca="1" ref="E13" ca="1">_xll.BQL($C$6,"TOTAL_RETURN(CALC_INTERVAL=RANGE(#AsofDate-12M,#AsofDate))","#AsofDate",_xll.BQL.DATE($E$6),"Fill=Prev","XlFill=0")</f>
        <v>#NAME?</v>
      </c>
      <c r="J13" s="13"/>
      <c r="K13" s="13"/>
      <c r="L13" s="13"/>
    </row>
    <row r="14" spans="2:20" ht="15" customHeight="1" x14ac:dyDescent="0.3">
      <c r="L14" s="13"/>
    </row>
    <row r="15" spans="2:20" ht="15" customHeight="1" x14ac:dyDescent="0.3">
      <c r="B15" s="28" t="e" cm="1">
        <f t="array" aca="1" ref="B15" ca="1">_xll.BDS($C$6,"BEST_ANALYST_RECS_BULK","END_DATE_OVERRIDE",TEXT(YEAR($E$6)*10000+MONTH($E$6)*100+DAY($E$6),"00000000"),"Headers=Y","StartCol=1","EndCol=3")</f>
        <v>#NAME?</v>
      </c>
      <c r="C15" s="28"/>
      <c r="D15" s="28"/>
      <c r="E15" s="28" t="e" cm="1">
        <f t="array" aca="1" ref="E15" ca="1">_xll.BDS($C$6,"BEST_ANALYST_RECS_BULK","END_DATE_OVERRIDE",TEXT(YEAR($E$6)*10000+MONTH($E$6)*100+DAY($E$6),"00000000"),"Headers=Y","StartCol=6","EndCol=6","Fill=B")</f>
        <v>#NAME?</v>
      </c>
      <c r="F15" s="35" t="e" cm="1">
        <f t="array" aca="1" ref="F15" ca="1">_xll.BDS($C$6,"BEST_ANALYST_RECS_BULK","END_DATE_OVERRIDE",TEXT(YEAR($E$6)*10000+MONTH($E$6)*100+DAY($E$6),"00000000"),"Headers=Y","StartCol=8","EndCol=8")</f>
        <v>#NAME?</v>
      </c>
      <c r="G15" s="38"/>
      <c r="L15" s="13"/>
    </row>
    <row r="16" spans="2:20" ht="15.75" customHeight="1" x14ac:dyDescent="0.3">
      <c r="B16" s="29"/>
      <c r="C16" s="30"/>
      <c r="D16" s="30"/>
      <c r="E16" s="33"/>
      <c r="F16" s="36"/>
      <c r="G16" s="39"/>
      <c r="L16" s="13"/>
    </row>
    <row r="17" spans="2:20" ht="15.75" customHeight="1" x14ac:dyDescent="0.3">
      <c r="B17" s="31"/>
      <c r="C17" s="32"/>
      <c r="D17" s="32"/>
      <c r="E17" s="34"/>
      <c r="F17" s="37"/>
      <c r="G17" s="39"/>
      <c r="L17" s="13"/>
    </row>
    <row r="18" spans="2:20" ht="14.4" x14ac:dyDescent="0.3">
      <c r="B18" s="29"/>
      <c r="C18" s="30"/>
      <c r="D18" s="30"/>
      <c r="E18" s="33"/>
      <c r="F18" s="36"/>
      <c r="G18" s="39"/>
      <c r="L18" s="13"/>
    </row>
    <row r="19" spans="2:20" ht="14.4" x14ac:dyDescent="0.3">
      <c r="B19" s="31"/>
      <c r="C19" s="32"/>
      <c r="D19" s="32"/>
      <c r="E19" s="34"/>
      <c r="F19" s="37"/>
      <c r="G19" s="39"/>
      <c r="L19" s="13"/>
      <c r="T19" s="13"/>
    </row>
    <row r="20" spans="2:20" ht="14.4" x14ac:dyDescent="0.3">
      <c r="B20" s="29"/>
      <c r="C20" s="30"/>
      <c r="D20" s="30"/>
      <c r="E20" s="33"/>
      <c r="F20" s="36"/>
      <c r="G20" s="39"/>
      <c r="L20" s="13"/>
      <c r="T20" s="13"/>
    </row>
    <row r="21" spans="2:20" ht="14.4" x14ac:dyDescent="0.3">
      <c r="B21" s="31"/>
      <c r="C21" s="32"/>
      <c r="D21" s="32"/>
      <c r="E21" s="34"/>
      <c r="F21" s="37"/>
      <c r="G21" s="39"/>
      <c r="L21" s="13"/>
      <c r="T21" s="13"/>
    </row>
    <row r="22" spans="2:20" ht="14.4" x14ac:dyDescent="0.3">
      <c r="B22" s="29"/>
      <c r="C22" s="30"/>
      <c r="D22" s="30"/>
      <c r="E22" s="33"/>
      <c r="F22" s="36"/>
      <c r="G22" s="39"/>
      <c r="L22" s="13"/>
      <c r="T22" s="13"/>
    </row>
    <row r="23" spans="2:20" ht="14.4" x14ac:dyDescent="0.3">
      <c r="B23" s="31"/>
      <c r="C23" s="32"/>
      <c r="D23" s="32"/>
      <c r="E23" s="34"/>
      <c r="F23" s="37"/>
      <c r="G23" s="39"/>
      <c r="L23" s="13"/>
      <c r="T23" s="13"/>
    </row>
    <row r="24" spans="2:20" ht="14.4" x14ac:dyDescent="0.3">
      <c r="B24" s="29"/>
      <c r="C24" s="30"/>
      <c r="D24" s="30"/>
      <c r="E24" s="33"/>
      <c r="F24" s="36"/>
      <c r="G24" s="39"/>
      <c r="L24" s="13"/>
      <c r="T24" s="13"/>
    </row>
    <row r="25" spans="2:20" ht="14.4" x14ac:dyDescent="0.3">
      <c r="B25" s="31"/>
      <c r="C25" s="32"/>
      <c r="D25" s="32"/>
      <c r="E25" s="34"/>
      <c r="F25" s="37"/>
      <c r="G25" s="39"/>
      <c r="L25" s="13"/>
      <c r="T25" s="13"/>
    </row>
    <row r="26" spans="2:20" ht="14.4" x14ac:dyDescent="0.3">
      <c r="B26" s="29"/>
      <c r="C26" s="30"/>
      <c r="D26" s="30"/>
      <c r="E26" s="33"/>
      <c r="F26" s="36"/>
      <c r="G26" s="39"/>
      <c r="L26" s="13"/>
      <c r="T26" s="13"/>
    </row>
    <row r="27" spans="2:20" ht="14.4" x14ac:dyDescent="0.3">
      <c r="B27" s="31"/>
      <c r="C27" s="32"/>
      <c r="D27" s="32"/>
      <c r="E27" s="34"/>
      <c r="F27" s="37"/>
      <c r="G27" s="39"/>
      <c r="L27" s="13"/>
      <c r="T27" s="13"/>
    </row>
    <row r="28" spans="2:20" ht="14.4" x14ac:dyDescent="0.3">
      <c r="B28" s="29"/>
      <c r="C28" s="30"/>
      <c r="D28" s="30"/>
      <c r="E28" s="33"/>
      <c r="F28" s="36"/>
      <c r="G28" s="39"/>
      <c r="L28" s="13"/>
      <c r="T28" s="13"/>
    </row>
    <row r="29" spans="2:20" ht="14.4" x14ac:dyDescent="0.3">
      <c r="B29" s="31"/>
      <c r="C29" s="32"/>
      <c r="D29" s="32"/>
      <c r="E29" s="34"/>
      <c r="F29" s="37"/>
      <c r="G29" s="39"/>
      <c r="T29" s="13"/>
    </row>
    <row r="30" spans="2:20" ht="14.4" x14ac:dyDescent="0.3">
      <c r="B30" s="29"/>
      <c r="C30" s="30"/>
      <c r="D30" s="30"/>
      <c r="E30" s="33"/>
      <c r="F30" s="36"/>
      <c r="G30" s="39"/>
      <c r="T30" s="13"/>
    </row>
    <row r="31" spans="2:20" ht="14.4" x14ac:dyDescent="0.3">
      <c r="B31" s="31"/>
      <c r="C31" s="32"/>
      <c r="D31" s="32"/>
      <c r="E31" s="34"/>
      <c r="F31" s="37"/>
      <c r="G31" s="39"/>
      <c r="T31" s="13"/>
    </row>
    <row r="32" spans="2:20" ht="14.4" x14ac:dyDescent="0.3">
      <c r="B32" s="29"/>
      <c r="C32" s="30"/>
      <c r="D32" s="30"/>
      <c r="E32" s="33"/>
      <c r="F32" s="36"/>
      <c r="G32" s="39"/>
      <c r="H32" s="28" t="s">
        <v>100</v>
      </c>
      <c r="I32" s="28" t="s">
        <v>96</v>
      </c>
      <c r="J32" s="28" t="s">
        <v>97</v>
      </c>
      <c r="K32" s="28" t="s">
        <v>101</v>
      </c>
      <c r="L32" s="28" t="s">
        <v>102</v>
      </c>
      <c r="M32" s="28" t="s">
        <v>103</v>
      </c>
      <c r="N32" s="28" t="s">
        <v>104</v>
      </c>
      <c r="T32" s="13"/>
    </row>
    <row r="33" spans="2:20" ht="14.4" x14ac:dyDescent="0.3">
      <c r="B33" s="31"/>
      <c r="C33" s="32"/>
      <c r="D33" s="32"/>
      <c r="E33" s="34"/>
      <c r="F33" s="37"/>
      <c r="G33" s="39"/>
      <c r="H33" s="40" t="e">
        <v>#NAME?</v>
      </c>
      <c r="I33" s="41"/>
      <c r="J33" s="41"/>
      <c r="K33" s="42"/>
      <c r="L33" s="42"/>
      <c r="M33" s="42"/>
      <c r="N33" s="41"/>
      <c r="T33" s="13"/>
    </row>
    <row r="34" spans="2:20" ht="14.4" x14ac:dyDescent="0.3">
      <c r="B34" s="29"/>
      <c r="C34" s="30"/>
      <c r="D34" s="30"/>
      <c r="E34" s="33"/>
      <c r="F34" s="36"/>
      <c r="G34" s="39"/>
      <c r="H34" s="43"/>
      <c r="I34" s="44"/>
      <c r="J34" s="44"/>
      <c r="K34" s="45"/>
      <c r="L34" s="45"/>
      <c r="M34" s="45"/>
      <c r="N34" s="44"/>
      <c r="T34" s="13"/>
    </row>
    <row r="35" spans="2:20" ht="14.4" x14ac:dyDescent="0.3">
      <c r="B35" s="31"/>
      <c r="C35" s="32"/>
      <c r="D35" s="32"/>
      <c r="E35" s="34"/>
      <c r="F35" s="37"/>
      <c r="G35" s="39"/>
      <c r="H35" s="40"/>
      <c r="I35" s="41"/>
      <c r="J35" s="41"/>
      <c r="K35" s="42"/>
      <c r="L35" s="42"/>
      <c r="M35" s="42"/>
      <c r="N35" s="41"/>
      <c r="T35" s="13"/>
    </row>
    <row r="36" spans="2:20" ht="14.4" x14ac:dyDescent="0.3">
      <c r="B36" s="29"/>
      <c r="C36" s="30"/>
      <c r="D36" s="30"/>
      <c r="E36" s="33"/>
      <c r="F36" s="36"/>
      <c r="G36" s="39"/>
      <c r="H36" s="43"/>
      <c r="I36" s="44"/>
      <c r="J36" s="44"/>
      <c r="K36" s="45"/>
      <c r="L36" s="45"/>
      <c r="M36" s="45"/>
      <c r="N36" s="44"/>
      <c r="T36" s="13"/>
    </row>
    <row r="37" spans="2:20" ht="14.4" x14ac:dyDescent="0.3">
      <c r="B37" s="31"/>
      <c r="C37" s="32"/>
      <c r="D37" s="32"/>
      <c r="E37" s="34"/>
      <c r="F37" s="37"/>
      <c r="G37" s="39"/>
      <c r="H37" s="40"/>
      <c r="I37" s="41"/>
      <c r="J37" s="41"/>
      <c r="K37" s="42"/>
      <c r="L37" s="42"/>
      <c r="M37" s="42"/>
      <c r="N37" s="41"/>
      <c r="T37" s="13"/>
    </row>
    <row r="38" spans="2:20" ht="14.4" x14ac:dyDescent="0.3">
      <c r="B38" s="29"/>
      <c r="C38" s="30"/>
      <c r="D38" s="30"/>
      <c r="E38" s="33"/>
      <c r="F38" s="36"/>
      <c r="G38" s="39"/>
      <c r="H38" s="43"/>
      <c r="I38" s="44"/>
      <c r="J38" s="44"/>
      <c r="K38" s="45"/>
      <c r="L38" s="45"/>
      <c r="M38" s="45"/>
      <c r="N38" s="44"/>
      <c r="T38" s="13"/>
    </row>
    <row r="39" spans="2:20" ht="14.4" x14ac:dyDescent="0.3">
      <c r="B39" s="31"/>
      <c r="C39" s="32"/>
      <c r="D39" s="32"/>
      <c r="E39" s="34"/>
      <c r="F39" s="37"/>
      <c r="G39" s="39"/>
      <c r="H39" s="40"/>
      <c r="I39" s="41"/>
      <c r="J39" s="41"/>
      <c r="K39" s="42"/>
      <c r="L39" s="42"/>
      <c r="M39" s="42"/>
      <c r="N39" s="41"/>
      <c r="T39" s="13"/>
    </row>
    <row r="40" spans="2:20" ht="14.4" x14ac:dyDescent="0.3">
      <c r="B40" s="29"/>
      <c r="C40" s="30"/>
      <c r="D40" s="30"/>
      <c r="E40" s="33"/>
      <c r="F40" s="36"/>
      <c r="G40" s="39"/>
      <c r="H40" s="43"/>
      <c r="I40" s="44"/>
      <c r="J40" s="44"/>
      <c r="K40" s="45"/>
      <c r="L40" s="45"/>
      <c r="M40" s="45"/>
      <c r="N40" s="44"/>
      <c r="T40" s="13"/>
    </row>
    <row r="41" spans="2:20" ht="14.4" x14ac:dyDescent="0.3">
      <c r="B41" s="31"/>
      <c r="C41" s="32"/>
      <c r="D41" s="32"/>
      <c r="E41" s="34"/>
      <c r="F41" s="37"/>
      <c r="G41" s="39"/>
      <c r="H41" s="40"/>
      <c r="I41" s="41"/>
      <c r="J41" s="41"/>
      <c r="K41" s="42"/>
      <c r="L41" s="42"/>
      <c r="M41" s="42"/>
      <c r="N41" s="41"/>
      <c r="T41" s="13"/>
    </row>
    <row r="42" spans="2:20" ht="14.4" x14ac:dyDescent="0.3">
      <c r="B42" s="29"/>
      <c r="C42" s="30"/>
      <c r="D42" s="30"/>
      <c r="E42" s="33"/>
      <c r="F42" s="36"/>
      <c r="G42" s="39"/>
      <c r="H42" s="43"/>
      <c r="I42" s="44"/>
      <c r="J42" s="44"/>
      <c r="K42" s="45"/>
      <c r="L42" s="45"/>
      <c r="M42" s="45"/>
      <c r="N42" s="44"/>
      <c r="T42" s="13"/>
    </row>
    <row r="43" spans="2:20" ht="14.4" x14ac:dyDescent="0.3">
      <c r="B43" s="31"/>
      <c r="C43" s="32"/>
      <c r="D43" s="32"/>
      <c r="E43" s="34"/>
      <c r="F43" s="37"/>
      <c r="G43" s="39"/>
      <c r="H43" s="40"/>
      <c r="I43" s="41"/>
      <c r="J43" s="41"/>
      <c r="K43" s="42"/>
      <c r="L43" s="42"/>
      <c r="M43" s="42"/>
      <c r="N43" s="41"/>
      <c r="T43" s="13"/>
    </row>
    <row r="44" spans="2:20" ht="14.4" x14ac:dyDescent="0.3">
      <c r="B44" s="29"/>
      <c r="C44" s="30"/>
      <c r="D44" s="30"/>
      <c r="E44" s="33"/>
      <c r="F44" s="36"/>
      <c r="G44" s="39"/>
      <c r="H44" s="43"/>
      <c r="I44" s="44"/>
      <c r="J44" s="44"/>
      <c r="K44" s="45"/>
      <c r="L44" s="45"/>
      <c r="M44" s="45"/>
      <c r="N44" s="44"/>
      <c r="T44" s="13"/>
    </row>
    <row r="45" spans="2:20" ht="14.4" x14ac:dyDescent="0.3">
      <c r="B45" s="31"/>
      <c r="C45" s="32"/>
      <c r="D45" s="32"/>
      <c r="E45" s="34"/>
      <c r="F45" s="37"/>
      <c r="G45" s="39"/>
      <c r="H45" s="40"/>
      <c r="I45" s="41"/>
      <c r="J45" s="41"/>
      <c r="K45" s="42"/>
      <c r="L45" s="42"/>
      <c r="M45" s="42"/>
      <c r="N45" s="41"/>
      <c r="T45" s="13"/>
    </row>
    <row r="46" spans="2:20" ht="14.4" x14ac:dyDescent="0.3">
      <c r="B46" s="29"/>
      <c r="C46" s="30"/>
      <c r="D46" s="30"/>
      <c r="E46" s="33"/>
      <c r="F46" s="36"/>
      <c r="G46" s="39"/>
      <c r="H46" s="43"/>
      <c r="I46" s="44"/>
      <c r="J46" s="44"/>
      <c r="K46" s="45"/>
      <c r="L46" s="45"/>
      <c r="M46" s="45"/>
      <c r="N46" s="44"/>
      <c r="T46" s="13"/>
    </row>
    <row r="47" spans="2:20" ht="14.4" x14ac:dyDescent="0.3">
      <c r="B47" s="31"/>
      <c r="C47" s="32"/>
      <c r="D47" s="32"/>
      <c r="E47" s="34"/>
      <c r="F47" s="37"/>
      <c r="G47" s="39"/>
      <c r="H47" s="40"/>
      <c r="I47" s="41"/>
      <c r="J47" s="41"/>
      <c r="K47" s="42"/>
      <c r="L47" s="42"/>
      <c r="M47" s="42"/>
      <c r="N47" s="41"/>
      <c r="T47" s="13"/>
    </row>
    <row r="48" spans="2:20" ht="14.4" x14ac:dyDescent="0.3">
      <c r="B48" s="29"/>
      <c r="C48" s="30"/>
      <c r="D48" s="30"/>
      <c r="E48" s="33"/>
      <c r="F48" s="36"/>
      <c r="G48" s="39"/>
      <c r="H48" s="43"/>
      <c r="I48" s="44"/>
      <c r="J48" s="44"/>
      <c r="K48" s="45"/>
      <c r="L48" s="45"/>
      <c r="M48" s="45"/>
      <c r="N48" s="44"/>
      <c r="T48" s="13"/>
    </row>
    <row r="49" spans="2:20" ht="14.4" x14ac:dyDescent="0.3">
      <c r="B49" s="31"/>
      <c r="C49" s="32"/>
      <c r="D49" s="32"/>
      <c r="E49" s="34"/>
      <c r="F49" s="37"/>
      <c r="G49" s="39"/>
      <c r="H49" s="40"/>
      <c r="I49" s="41"/>
      <c r="J49" s="41"/>
      <c r="K49" s="42"/>
      <c r="L49" s="42"/>
      <c r="M49" s="42"/>
      <c r="N49" s="41"/>
      <c r="T49" s="13"/>
    </row>
    <row r="50" spans="2:20" ht="14.4" x14ac:dyDescent="0.3">
      <c r="B50" s="29"/>
      <c r="C50" s="30"/>
      <c r="D50" s="30"/>
      <c r="E50" s="33"/>
      <c r="F50" s="36"/>
      <c r="G50" s="39"/>
      <c r="H50" s="43"/>
      <c r="I50" s="44"/>
      <c r="J50" s="44"/>
      <c r="K50" s="45"/>
      <c r="L50" s="45"/>
      <c r="M50" s="45"/>
      <c r="N50" s="44"/>
      <c r="T50" s="13"/>
    </row>
    <row r="51" spans="2:20" ht="14.4" x14ac:dyDescent="0.3">
      <c r="B51" s="31"/>
      <c r="C51" s="32"/>
      <c r="D51" s="32"/>
      <c r="E51" s="34"/>
      <c r="F51" s="37"/>
      <c r="G51" s="39"/>
      <c r="H51" s="40"/>
      <c r="I51" s="41"/>
      <c r="J51" s="41"/>
      <c r="K51" s="42"/>
      <c r="L51" s="42"/>
      <c r="M51" s="42"/>
      <c r="N51" s="41"/>
      <c r="T51" s="13"/>
    </row>
    <row r="52" spans="2:20" ht="14.4" x14ac:dyDescent="0.3">
      <c r="B52" s="29"/>
      <c r="C52" s="30"/>
      <c r="D52" s="30"/>
      <c r="E52" s="33"/>
      <c r="F52" s="36"/>
      <c r="G52" s="39"/>
      <c r="H52" s="43"/>
      <c r="I52" s="44"/>
      <c r="J52" s="44"/>
      <c r="K52" s="45"/>
      <c r="L52" s="45"/>
      <c r="M52" s="45"/>
      <c r="N52" s="44"/>
      <c r="T52" s="13"/>
    </row>
    <row r="53" spans="2:20" ht="14.4" x14ac:dyDescent="0.3">
      <c r="B53" s="31"/>
      <c r="C53" s="32"/>
      <c r="D53" s="32"/>
      <c r="E53" s="34"/>
      <c r="F53" s="37"/>
      <c r="G53" s="39"/>
      <c r="H53" s="40"/>
      <c r="I53" s="41"/>
      <c r="J53" s="41"/>
      <c r="K53" s="42"/>
      <c r="L53" s="42"/>
      <c r="M53" s="42"/>
      <c r="N53" s="41"/>
      <c r="T53" s="13"/>
    </row>
    <row r="54" spans="2:20" ht="14.4" x14ac:dyDescent="0.3">
      <c r="B54" s="29"/>
      <c r="C54" s="30"/>
      <c r="D54" s="30"/>
      <c r="E54" s="33"/>
      <c r="F54" s="36"/>
      <c r="G54" s="39"/>
      <c r="H54" s="43"/>
      <c r="I54" s="44"/>
      <c r="J54" s="44"/>
      <c r="K54" s="45"/>
      <c r="L54" s="45"/>
      <c r="M54" s="45"/>
      <c r="N54" s="44"/>
      <c r="T54" s="13"/>
    </row>
    <row r="55" spans="2:20" ht="14.4" x14ac:dyDescent="0.3">
      <c r="B55" s="31"/>
      <c r="C55" s="32"/>
      <c r="D55" s="32"/>
      <c r="E55" s="34"/>
      <c r="F55" s="37"/>
      <c r="G55" s="39"/>
      <c r="H55" s="40"/>
      <c r="I55" s="41"/>
      <c r="J55" s="41"/>
      <c r="K55" s="42"/>
      <c r="L55" s="42"/>
      <c r="M55" s="42"/>
      <c r="N55" s="41"/>
      <c r="T55" s="13"/>
    </row>
    <row r="56" spans="2:20" ht="14.4" x14ac:dyDescent="0.3">
      <c r="B56" s="29"/>
      <c r="C56" s="30"/>
      <c r="D56" s="30"/>
      <c r="E56" s="33"/>
      <c r="F56" s="36"/>
      <c r="G56" s="39"/>
      <c r="H56" s="43"/>
      <c r="I56" s="44"/>
      <c r="J56" s="44"/>
      <c r="K56" s="45"/>
      <c r="L56" s="45"/>
      <c r="M56" s="45"/>
      <c r="N56" s="44"/>
      <c r="T56" s="13"/>
    </row>
    <row r="57" spans="2:20" ht="14.4" x14ac:dyDescent="0.3">
      <c r="B57" s="31"/>
      <c r="C57" s="32"/>
      <c r="D57" s="32"/>
      <c r="E57" s="34"/>
      <c r="F57" s="37"/>
      <c r="G57" s="39"/>
      <c r="H57" s="40"/>
      <c r="I57" s="41"/>
      <c r="J57" s="41"/>
      <c r="K57" s="42"/>
      <c r="L57" s="42"/>
      <c r="M57" s="42"/>
      <c r="N57" s="41"/>
      <c r="T57" s="13"/>
    </row>
    <row r="58" spans="2:20" ht="14.4" x14ac:dyDescent="0.3">
      <c r="B58" s="29"/>
      <c r="C58" s="30"/>
      <c r="D58" s="30"/>
      <c r="E58" s="33"/>
      <c r="F58" s="36"/>
      <c r="G58" s="39"/>
      <c r="H58" s="43"/>
      <c r="I58" s="44"/>
      <c r="J58" s="44"/>
      <c r="K58" s="45"/>
      <c r="L58" s="45"/>
      <c r="M58" s="45"/>
      <c r="N58" s="44"/>
      <c r="T58" s="13"/>
    </row>
    <row r="59" spans="2:20" ht="14.4" x14ac:dyDescent="0.3">
      <c r="B59" s="31"/>
      <c r="C59" s="32"/>
      <c r="D59" s="32"/>
      <c r="E59" s="34"/>
      <c r="F59" s="37"/>
      <c r="G59" s="39"/>
      <c r="H59" s="40"/>
      <c r="I59" s="41"/>
      <c r="J59" s="41"/>
      <c r="K59" s="42"/>
      <c r="L59" s="42"/>
      <c r="M59" s="42"/>
      <c r="N59" s="41"/>
      <c r="T59" s="13"/>
    </row>
    <row r="60" spans="2:20" ht="14.4" x14ac:dyDescent="0.3">
      <c r="B60" s="29"/>
      <c r="C60" s="30"/>
      <c r="D60" s="30"/>
      <c r="E60" s="33"/>
      <c r="F60" s="36"/>
      <c r="G60" s="39"/>
      <c r="H60" s="43"/>
      <c r="I60" s="44"/>
      <c r="J60" s="44"/>
      <c r="K60" s="45"/>
      <c r="L60" s="45"/>
      <c r="M60" s="45"/>
      <c r="N60" s="44"/>
      <c r="T60" s="13"/>
    </row>
    <row r="61" spans="2:20" ht="14.4" x14ac:dyDescent="0.3">
      <c r="B61" s="31"/>
      <c r="C61" s="32"/>
      <c r="D61" s="32"/>
      <c r="E61" s="34"/>
      <c r="F61" s="37"/>
      <c r="G61" s="39"/>
      <c r="H61" s="40"/>
      <c r="I61" s="41"/>
      <c r="J61" s="41"/>
      <c r="K61" s="42"/>
      <c r="L61" s="42"/>
      <c r="M61" s="42"/>
      <c r="N61" s="41"/>
      <c r="T61" s="13"/>
    </row>
    <row r="62" spans="2:20" ht="14.4" x14ac:dyDescent="0.3">
      <c r="B62" s="29"/>
      <c r="C62" s="30"/>
      <c r="D62" s="30"/>
      <c r="E62" s="33"/>
      <c r="F62" s="36"/>
      <c r="G62" s="39"/>
      <c r="H62" s="43"/>
      <c r="I62" s="44"/>
      <c r="J62" s="44"/>
      <c r="K62" s="45"/>
      <c r="L62" s="45"/>
      <c r="M62" s="45"/>
      <c r="N62" s="44"/>
      <c r="T62" s="13"/>
    </row>
    <row r="63" spans="2:20" ht="14.4" x14ac:dyDescent="0.3">
      <c r="B63" s="31"/>
      <c r="C63" s="32"/>
      <c r="D63" s="32"/>
      <c r="E63" s="34"/>
      <c r="F63" s="37"/>
      <c r="G63" s="39"/>
      <c r="H63" s="40"/>
      <c r="I63" s="41"/>
      <c r="J63" s="41"/>
      <c r="K63" s="42"/>
      <c r="L63" s="42"/>
      <c r="M63" s="42"/>
      <c r="N63" s="41"/>
      <c r="T63" s="13"/>
    </row>
    <row r="64" spans="2:20" ht="14.4" x14ac:dyDescent="0.3">
      <c r="B64" s="29"/>
      <c r="C64" s="30"/>
      <c r="D64" s="30"/>
      <c r="E64" s="33"/>
      <c r="F64" s="36"/>
      <c r="G64" s="39"/>
      <c r="H64" s="43"/>
      <c r="I64" s="44"/>
      <c r="J64" s="44"/>
      <c r="K64" s="45"/>
      <c r="L64" s="45"/>
      <c r="M64" s="45"/>
      <c r="N64" s="44"/>
      <c r="T64" s="13"/>
    </row>
    <row r="65" spans="2:20" ht="14.4" x14ac:dyDescent="0.3">
      <c r="B65" s="31"/>
      <c r="C65" s="32"/>
      <c r="D65" s="32"/>
      <c r="E65" s="34"/>
      <c r="F65" s="37"/>
      <c r="G65" s="39"/>
      <c r="H65" s="40"/>
      <c r="I65" s="41"/>
      <c r="J65" s="41"/>
      <c r="K65" s="42"/>
      <c r="L65" s="42"/>
      <c r="M65" s="42"/>
      <c r="N65" s="41"/>
      <c r="T65" s="13"/>
    </row>
    <row r="66" spans="2:20" ht="14.4" x14ac:dyDescent="0.3">
      <c r="B66" s="29"/>
      <c r="C66" s="30"/>
      <c r="D66" s="30"/>
      <c r="E66" s="33"/>
      <c r="F66" s="36"/>
      <c r="G66" s="39"/>
      <c r="H66" s="43"/>
      <c r="I66" s="44"/>
      <c r="J66" s="44"/>
      <c r="K66" s="45"/>
      <c r="L66" s="45"/>
      <c r="M66" s="45"/>
      <c r="N66" s="44"/>
      <c r="T66" s="13"/>
    </row>
    <row r="67" spans="2:20" ht="14.4" x14ac:dyDescent="0.3">
      <c r="B67" s="31"/>
      <c r="C67" s="32"/>
      <c r="D67" s="32"/>
      <c r="E67" s="34"/>
      <c r="F67" s="37"/>
      <c r="G67" s="39"/>
      <c r="H67" s="40"/>
      <c r="I67" s="41"/>
      <c r="J67" s="41"/>
      <c r="K67" s="42"/>
      <c r="L67" s="42"/>
      <c r="M67" s="42"/>
      <c r="N67" s="41"/>
      <c r="T67" s="13"/>
    </row>
    <row r="68" spans="2:20" ht="14.4" x14ac:dyDescent="0.3">
      <c r="B68" s="29"/>
      <c r="C68" s="30"/>
      <c r="D68" s="30"/>
      <c r="E68" s="33"/>
      <c r="F68" s="36"/>
      <c r="G68" s="39"/>
      <c r="H68" s="43"/>
      <c r="I68" s="44"/>
      <c r="J68" s="44"/>
      <c r="K68" s="45"/>
      <c r="L68" s="45"/>
      <c r="M68" s="45"/>
      <c r="N68" s="44"/>
      <c r="T68" s="13"/>
    </row>
    <row r="69" spans="2:20" ht="14.4" x14ac:dyDescent="0.3">
      <c r="B69" s="31"/>
      <c r="C69" s="32"/>
      <c r="D69" s="32"/>
      <c r="E69" s="34"/>
      <c r="F69" s="37"/>
      <c r="G69" s="39"/>
      <c r="H69" s="40"/>
      <c r="I69" s="41"/>
      <c r="J69" s="41"/>
      <c r="K69" s="42"/>
      <c r="L69" s="42"/>
      <c r="M69" s="42"/>
      <c r="N69" s="41"/>
      <c r="T69" s="13"/>
    </row>
    <row r="70" spans="2:20" ht="14.4" x14ac:dyDescent="0.3">
      <c r="B70" s="29"/>
      <c r="C70" s="30"/>
      <c r="D70" s="30"/>
      <c r="E70" s="33"/>
      <c r="F70" s="36"/>
      <c r="G70" s="39"/>
      <c r="H70" s="43"/>
      <c r="I70" s="44"/>
      <c r="J70" s="44"/>
      <c r="K70" s="45"/>
      <c r="L70" s="45"/>
      <c r="M70" s="45"/>
      <c r="N70" s="44"/>
      <c r="T70" s="13"/>
    </row>
    <row r="71" spans="2:20" ht="14.4" x14ac:dyDescent="0.3">
      <c r="B71" s="31"/>
      <c r="C71" s="32"/>
      <c r="D71" s="32"/>
      <c r="E71" s="34"/>
      <c r="F71" s="37"/>
      <c r="G71" s="39"/>
      <c r="H71" s="40"/>
      <c r="I71" s="41"/>
      <c r="J71" s="41"/>
      <c r="K71" s="42"/>
      <c r="L71" s="42"/>
      <c r="M71" s="42"/>
      <c r="N71" s="41"/>
      <c r="T71" s="13"/>
    </row>
    <row r="72" spans="2:20" ht="14.4" x14ac:dyDescent="0.3">
      <c r="B72" s="29"/>
      <c r="C72" s="30"/>
      <c r="D72" s="30"/>
      <c r="E72" s="33"/>
      <c r="F72" s="36"/>
      <c r="G72" s="39"/>
      <c r="H72" s="43"/>
      <c r="I72" s="44"/>
      <c r="J72" s="44"/>
      <c r="K72" s="45"/>
      <c r="L72" s="45"/>
      <c r="M72" s="45"/>
      <c r="N72" s="44"/>
      <c r="T72" s="13"/>
    </row>
    <row r="73" spans="2:20" ht="14.4" x14ac:dyDescent="0.3">
      <c r="B73" s="31"/>
      <c r="C73" s="32"/>
      <c r="D73" s="32"/>
      <c r="E73" s="34"/>
      <c r="F73" s="37"/>
      <c r="G73" s="39"/>
      <c r="H73" s="40"/>
      <c r="I73" s="41"/>
      <c r="J73" s="41"/>
      <c r="K73" s="42"/>
      <c r="L73" s="42"/>
      <c r="M73" s="42"/>
      <c r="N73" s="41"/>
      <c r="T73" s="13"/>
    </row>
    <row r="74" spans="2:20" ht="14.4" x14ac:dyDescent="0.3">
      <c r="B74" s="29"/>
      <c r="C74" s="30"/>
      <c r="D74" s="30"/>
      <c r="E74" s="33"/>
      <c r="F74" s="36"/>
      <c r="G74" s="39"/>
      <c r="H74" s="43"/>
      <c r="I74" s="44"/>
      <c r="J74" s="44"/>
      <c r="K74" s="45"/>
      <c r="L74" s="45"/>
      <c r="M74" s="45"/>
      <c r="N74" s="44"/>
      <c r="T74" s="13"/>
    </row>
    <row r="75" spans="2:20" ht="14.4" x14ac:dyDescent="0.3">
      <c r="B75" s="31"/>
      <c r="C75" s="32"/>
      <c r="D75" s="32"/>
      <c r="E75" s="34"/>
      <c r="F75" s="37"/>
      <c r="G75" s="39"/>
      <c r="H75" s="40"/>
      <c r="I75" s="41"/>
      <c r="J75" s="41"/>
      <c r="K75" s="42"/>
      <c r="L75" s="42"/>
      <c r="M75" s="42"/>
      <c r="N75" s="41"/>
      <c r="T75" s="13"/>
    </row>
    <row r="76" spans="2:20" ht="14.4" x14ac:dyDescent="0.3">
      <c r="B76" s="29"/>
      <c r="C76" s="30"/>
      <c r="D76" s="30"/>
      <c r="E76" s="33"/>
      <c r="F76" s="36"/>
      <c r="G76" s="39"/>
      <c r="H76" s="43"/>
      <c r="I76" s="44"/>
      <c r="J76" s="44"/>
      <c r="K76" s="45"/>
      <c r="L76" s="45"/>
      <c r="M76" s="45"/>
      <c r="N76" s="44"/>
      <c r="T76" s="13"/>
    </row>
    <row r="77" spans="2:20" ht="14.4" x14ac:dyDescent="0.3">
      <c r="B77" s="31"/>
      <c r="C77" s="32"/>
      <c r="D77" s="32"/>
      <c r="E77" s="34"/>
      <c r="F77" s="37"/>
      <c r="G77" s="39"/>
      <c r="H77" s="40"/>
      <c r="I77" s="41"/>
      <c r="J77" s="41"/>
      <c r="K77" s="42"/>
      <c r="L77" s="42"/>
      <c r="M77" s="42"/>
      <c r="N77" s="41"/>
      <c r="T77" s="13"/>
    </row>
    <row r="78" spans="2:20" ht="14.4" x14ac:dyDescent="0.3">
      <c r="B78" s="29"/>
      <c r="C78" s="30"/>
      <c r="D78" s="30"/>
      <c r="E78" s="33"/>
      <c r="F78" s="36"/>
      <c r="G78" s="39"/>
      <c r="H78" s="43"/>
      <c r="I78" s="44"/>
      <c r="J78" s="44"/>
      <c r="K78" s="45"/>
      <c r="L78" s="45"/>
      <c r="M78" s="45"/>
      <c r="N78" s="44"/>
      <c r="T78" s="13"/>
    </row>
    <row r="79" spans="2:20" ht="14.4" x14ac:dyDescent="0.3">
      <c r="B79" s="31"/>
      <c r="C79" s="32"/>
      <c r="D79" s="32"/>
      <c r="E79" s="34"/>
      <c r="F79" s="37"/>
      <c r="G79" s="39"/>
      <c r="H79" s="40"/>
      <c r="I79" s="41"/>
      <c r="J79" s="41"/>
      <c r="K79" s="42"/>
      <c r="L79" s="42"/>
      <c r="M79" s="42"/>
      <c r="N79" s="41"/>
      <c r="T79" s="13"/>
    </row>
    <row r="80" spans="2:20" ht="14.4" x14ac:dyDescent="0.3">
      <c r="B80" s="29"/>
      <c r="C80" s="30"/>
      <c r="D80" s="30"/>
      <c r="E80" s="33"/>
      <c r="F80" s="36"/>
      <c r="G80" s="39"/>
      <c r="H80" s="43"/>
      <c r="I80" s="44"/>
      <c r="J80" s="44"/>
      <c r="K80" s="45"/>
      <c r="L80" s="45"/>
      <c r="M80" s="45"/>
      <c r="N80" s="44"/>
      <c r="T80" s="13"/>
    </row>
    <row r="81" spans="2:20" ht="14.4" x14ac:dyDescent="0.3">
      <c r="B81" s="31"/>
      <c r="C81" s="32"/>
      <c r="D81" s="32"/>
      <c r="E81" s="34"/>
      <c r="F81" s="37"/>
      <c r="G81" s="39"/>
      <c r="H81" s="40"/>
      <c r="I81" s="41"/>
      <c r="J81" s="41"/>
      <c r="K81" s="42"/>
      <c r="L81" s="42"/>
      <c r="M81" s="42"/>
      <c r="N81" s="41"/>
      <c r="T81" s="13"/>
    </row>
    <row r="82" spans="2:20" ht="14.4" x14ac:dyDescent="0.3">
      <c r="B82" s="29"/>
      <c r="C82" s="30"/>
      <c r="D82" s="30"/>
      <c r="E82" s="33"/>
      <c r="F82" s="36"/>
      <c r="G82" s="39"/>
      <c r="H82" s="43"/>
      <c r="I82" s="44"/>
      <c r="J82" s="44"/>
      <c r="K82" s="45"/>
      <c r="L82" s="45"/>
      <c r="M82" s="45"/>
      <c r="N82" s="44"/>
      <c r="T82" s="13"/>
    </row>
    <row r="83" spans="2:20" ht="14.4" x14ac:dyDescent="0.3">
      <c r="B83" s="31"/>
      <c r="C83" s="32"/>
      <c r="D83" s="32"/>
      <c r="E83" s="34"/>
      <c r="F83" s="37"/>
      <c r="G83" s="39"/>
      <c r="H83" s="40"/>
      <c r="I83" s="41"/>
      <c r="J83" s="41"/>
      <c r="K83" s="42"/>
      <c r="L83" s="42"/>
      <c r="M83" s="42"/>
      <c r="N83" s="41"/>
      <c r="T83" s="13"/>
    </row>
    <row r="84" spans="2:20" ht="14.4" x14ac:dyDescent="0.3">
      <c r="B84" s="29"/>
      <c r="C84" s="30"/>
      <c r="D84" s="30"/>
      <c r="E84" s="33"/>
      <c r="F84" s="36"/>
      <c r="G84" s="39"/>
      <c r="H84" s="43"/>
      <c r="I84" s="44"/>
      <c r="J84" s="44"/>
      <c r="K84" s="45"/>
      <c r="L84" s="45"/>
      <c r="M84" s="45"/>
      <c r="N84" s="44"/>
      <c r="T84" s="13"/>
    </row>
    <row r="85" spans="2:20" ht="14.4" x14ac:dyDescent="0.3">
      <c r="B85" s="31"/>
      <c r="C85" s="32"/>
      <c r="D85" s="32"/>
      <c r="E85" s="34"/>
      <c r="F85" s="37"/>
      <c r="G85" s="39"/>
      <c r="H85" s="40"/>
      <c r="I85" s="41"/>
      <c r="J85" s="41"/>
      <c r="K85" s="42"/>
      <c r="L85" s="42"/>
      <c r="M85" s="42"/>
      <c r="N85" s="41"/>
      <c r="T85" s="13"/>
    </row>
    <row r="86" spans="2:20" ht="14.4" x14ac:dyDescent="0.3">
      <c r="B86" s="29"/>
      <c r="C86" s="30"/>
      <c r="D86" s="30"/>
      <c r="E86" s="33"/>
      <c r="F86" s="36"/>
      <c r="G86" s="39"/>
      <c r="H86" s="43"/>
      <c r="I86" s="44"/>
      <c r="J86" s="44"/>
      <c r="K86" s="45"/>
      <c r="L86" s="45"/>
      <c r="M86" s="45"/>
      <c r="N86" s="44"/>
      <c r="T86" s="13"/>
    </row>
    <row r="87" spans="2:20" ht="14.4" x14ac:dyDescent="0.3">
      <c r="B87" s="31"/>
      <c r="C87" s="32"/>
      <c r="D87" s="32"/>
      <c r="E87" s="34"/>
      <c r="F87" s="37"/>
      <c r="G87" s="39"/>
      <c r="H87" s="40"/>
      <c r="I87" s="41"/>
      <c r="J87" s="41"/>
      <c r="K87" s="42"/>
      <c r="L87" s="42"/>
      <c r="M87" s="42"/>
      <c r="N87" s="41"/>
      <c r="T87" s="13"/>
    </row>
    <row r="88" spans="2:20" ht="14.4" x14ac:dyDescent="0.3">
      <c r="B88" s="29"/>
      <c r="C88" s="30"/>
      <c r="D88" s="30"/>
      <c r="E88" s="33"/>
      <c r="F88" s="36"/>
      <c r="G88" s="39"/>
      <c r="H88" s="43"/>
      <c r="I88" s="44"/>
      <c r="J88" s="44"/>
      <c r="K88" s="45"/>
      <c r="L88" s="45"/>
      <c r="M88" s="45"/>
      <c r="N88" s="44"/>
      <c r="T88" s="13"/>
    </row>
    <row r="89" spans="2:20" ht="14.4" x14ac:dyDescent="0.3">
      <c r="B89" s="31"/>
      <c r="C89" s="32"/>
      <c r="D89" s="32"/>
      <c r="E89" s="34"/>
      <c r="F89" s="37"/>
      <c r="G89" s="39"/>
      <c r="H89" s="40"/>
      <c r="I89" s="41"/>
      <c r="J89" s="41"/>
      <c r="K89" s="42"/>
      <c r="L89" s="42"/>
      <c r="M89" s="42"/>
      <c r="N89" s="41"/>
      <c r="T89" s="13"/>
    </row>
    <row r="90" spans="2:20" ht="14.4" x14ac:dyDescent="0.3">
      <c r="B90" s="29"/>
      <c r="C90" s="30"/>
      <c r="D90" s="30"/>
      <c r="E90" s="33"/>
      <c r="F90" s="36"/>
      <c r="G90" s="39"/>
      <c r="H90" s="43"/>
      <c r="I90" s="44"/>
      <c r="J90" s="44"/>
      <c r="K90" s="45"/>
      <c r="L90" s="45"/>
      <c r="M90" s="45"/>
      <c r="N90" s="44"/>
      <c r="T90" s="13"/>
    </row>
    <row r="91" spans="2:20" ht="14.4" x14ac:dyDescent="0.3">
      <c r="B91" s="31"/>
      <c r="C91" s="32"/>
      <c r="D91" s="32"/>
      <c r="E91" s="34"/>
      <c r="F91" s="37"/>
      <c r="G91" s="39"/>
      <c r="H91" s="40"/>
      <c r="I91" s="41"/>
      <c r="J91" s="41"/>
      <c r="K91" s="42"/>
      <c r="L91" s="42"/>
      <c r="M91" s="42"/>
      <c r="N91" s="41"/>
      <c r="T91" s="13"/>
    </row>
    <row r="92" spans="2:20" ht="14.4" x14ac:dyDescent="0.3">
      <c r="B92" s="29"/>
      <c r="C92" s="30"/>
      <c r="D92" s="30"/>
      <c r="E92" s="33"/>
      <c r="F92" s="36"/>
      <c r="G92" s="39"/>
      <c r="H92" s="43"/>
      <c r="I92" s="44"/>
      <c r="J92" s="44"/>
      <c r="K92" s="45"/>
      <c r="L92" s="45"/>
      <c r="M92" s="45"/>
      <c r="N92" s="44"/>
      <c r="T92" s="13"/>
    </row>
    <row r="93" spans="2:20" ht="14.4" x14ac:dyDescent="0.3">
      <c r="B93" s="31"/>
      <c r="C93" s="32"/>
      <c r="D93" s="32"/>
      <c r="E93" s="34"/>
      <c r="F93" s="37"/>
      <c r="G93" s="39"/>
      <c r="H93" s="40"/>
      <c r="I93" s="41"/>
      <c r="J93" s="41"/>
      <c r="K93" s="42"/>
      <c r="L93" s="42"/>
      <c r="M93" s="42"/>
      <c r="N93" s="41"/>
      <c r="T93" s="13"/>
    </row>
    <row r="94" spans="2:20" ht="14.4" x14ac:dyDescent="0.3">
      <c r="B94" s="29"/>
      <c r="C94" s="30"/>
      <c r="D94" s="30"/>
      <c r="E94" s="33"/>
      <c r="F94" s="36"/>
      <c r="G94" s="39"/>
      <c r="H94" s="43"/>
      <c r="I94" s="44"/>
      <c r="J94" s="44"/>
      <c r="K94" s="45"/>
      <c r="L94" s="45"/>
      <c r="M94" s="45"/>
      <c r="N94" s="44"/>
      <c r="T94" s="13"/>
    </row>
    <row r="95" spans="2:20" ht="14.4" x14ac:dyDescent="0.3">
      <c r="B95" s="31"/>
      <c r="C95" s="32"/>
      <c r="D95" s="32"/>
      <c r="E95" s="34"/>
      <c r="F95" s="37"/>
      <c r="G95" s="39"/>
      <c r="H95" s="40"/>
      <c r="I95" s="41"/>
      <c r="J95" s="41"/>
      <c r="K95" s="42"/>
      <c r="L95" s="42"/>
      <c r="M95" s="42"/>
      <c r="N95" s="41"/>
      <c r="T95" s="13"/>
    </row>
    <row r="96" spans="2:20" ht="14.4" x14ac:dyDescent="0.3">
      <c r="B96" s="29"/>
      <c r="C96" s="30"/>
      <c r="D96" s="30"/>
      <c r="E96" s="33"/>
      <c r="F96" s="36"/>
      <c r="G96" s="39"/>
      <c r="H96" s="43"/>
      <c r="I96" s="44"/>
      <c r="J96" s="44"/>
      <c r="K96" s="45"/>
      <c r="L96" s="45"/>
      <c r="M96" s="45"/>
      <c r="N96" s="44"/>
      <c r="T96" s="13"/>
    </row>
    <row r="97" spans="2:20" ht="14.4" x14ac:dyDescent="0.3">
      <c r="B97" s="31"/>
      <c r="C97" s="32"/>
      <c r="D97" s="32"/>
      <c r="E97" s="34"/>
      <c r="F97" s="37"/>
      <c r="G97" s="39"/>
      <c r="H97" s="40"/>
      <c r="I97" s="41"/>
      <c r="J97" s="41"/>
      <c r="K97" s="42"/>
      <c r="L97" s="42"/>
      <c r="M97" s="42"/>
      <c r="N97" s="41"/>
      <c r="T97" s="13"/>
    </row>
    <row r="98" spans="2:20" ht="14.4" x14ac:dyDescent="0.3">
      <c r="B98" s="29"/>
      <c r="C98" s="30"/>
      <c r="D98" s="30"/>
      <c r="E98" s="33"/>
      <c r="F98" s="36"/>
      <c r="G98" s="39"/>
      <c r="H98" s="43"/>
      <c r="I98" s="44"/>
      <c r="J98" s="44"/>
      <c r="K98" s="45"/>
      <c r="L98" s="45"/>
      <c r="M98" s="45"/>
      <c r="N98" s="44"/>
      <c r="T98" s="13"/>
    </row>
    <row r="99" spans="2:20" ht="14.4" x14ac:dyDescent="0.3">
      <c r="B99" s="31"/>
      <c r="C99" s="32"/>
      <c r="D99" s="32"/>
      <c r="E99" s="34"/>
      <c r="F99" s="37"/>
      <c r="G99" s="39"/>
      <c r="H99" s="40"/>
      <c r="I99" s="41"/>
      <c r="J99" s="41"/>
      <c r="K99" s="42"/>
      <c r="L99" s="42"/>
      <c r="M99" s="42"/>
      <c r="N99" s="41"/>
      <c r="T99" s="13"/>
    </row>
    <row r="100" spans="2:20" ht="14.4" x14ac:dyDescent="0.3">
      <c r="B100" s="29"/>
      <c r="C100" s="30"/>
      <c r="D100" s="30"/>
      <c r="E100" s="33"/>
      <c r="F100" s="36"/>
      <c r="G100" s="39"/>
      <c r="H100" s="43"/>
      <c r="I100" s="44"/>
      <c r="J100" s="44"/>
      <c r="K100" s="45"/>
      <c r="L100" s="45"/>
      <c r="M100" s="45"/>
      <c r="N100" s="44"/>
      <c r="T100" s="13"/>
    </row>
    <row r="101" spans="2:20" ht="14.4" x14ac:dyDescent="0.3">
      <c r="B101" s="31"/>
      <c r="C101" s="32"/>
      <c r="D101" s="32"/>
      <c r="E101" s="34"/>
      <c r="F101" s="37"/>
      <c r="G101" s="39"/>
      <c r="H101" s="40"/>
      <c r="I101" s="41"/>
      <c r="J101" s="41"/>
      <c r="K101" s="42"/>
      <c r="L101" s="42"/>
      <c r="M101" s="42"/>
      <c r="N101" s="41"/>
      <c r="T101" s="13"/>
    </row>
    <row r="102" spans="2:20" ht="14.4" x14ac:dyDescent="0.3">
      <c r="B102" s="29"/>
      <c r="C102" s="30"/>
      <c r="D102" s="30"/>
      <c r="E102" s="33"/>
      <c r="F102" s="36"/>
      <c r="G102" s="39"/>
      <c r="H102" s="43"/>
      <c r="I102" s="44"/>
      <c r="J102" s="44"/>
      <c r="K102" s="45"/>
      <c r="L102" s="45"/>
      <c r="M102" s="45"/>
      <c r="N102" s="44"/>
      <c r="T102" s="13"/>
    </row>
    <row r="103" spans="2:20" ht="14.4" x14ac:dyDescent="0.3">
      <c r="B103" s="31"/>
      <c r="C103" s="32"/>
      <c r="D103" s="32"/>
      <c r="E103" s="34"/>
      <c r="F103" s="37"/>
      <c r="G103" s="39"/>
      <c r="H103" s="40"/>
      <c r="I103" s="41"/>
      <c r="J103" s="41"/>
      <c r="K103" s="42"/>
      <c r="L103" s="42"/>
      <c r="M103" s="42"/>
      <c r="N103" s="41"/>
      <c r="T103" s="13"/>
    </row>
    <row r="104" spans="2:20" ht="14.4" x14ac:dyDescent="0.3">
      <c r="B104" s="29"/>
      <c r="C104" s="30"/>
      <c r="D104" s="30"/>
      <c r="E104" s="33"/>
      <c r="F104" s="36"/>
      <c r="G104" s="39"/>
      <c r="H104" s="43"/>
      <c r="I104" s="44"/>
      <c r="J104" s="44"/>
      <c r="K104" s="45"/>
      <c r="L104" s="45"/>
      <c r="M104" s="45"/>
      <c r="N104" s="44"/>
      <c r="T104" s="13"/>
    </row>
    <row r="105" spans="2:20" ht="14.4" x14ac:dyDescent="0.3">
      <c r="B105" s="31"/>
      <c r="C105" s="32"/>
      <c r="D105" s="32"/>
      <c r="E105" s="34"/>
      <c r="F105" s="37"/>
      <c r="G105" s="39"/>
      <c r="H105" s="40"/>
      <c r="I105" s="41"/>
      <c r="J105" s="41"/>
      <c r="K105" s="42"/>
      <c r="L105" s="42"/>
      <c r="M105" s="42"/>
      <c r="N105" s="41"/>
      <c r="T105" s="13"/>
    </row>
    <row r="106" spans="2:20" ht="14.4" x14ac:dyDescent="0.3">
      <c r="B106" s="29"/>
      <c r="C106" s="30"/>
      <c r="D106" s="30"/>
      <c r="E106" s="33"/>
      <c r="F106" s="36"/>
      <c r="G106" s="39"/>
      <c r="H106" s="43"/>
      <c r="I106" s="44"/>
      <c r="J106" s="44"/>
      <c r="K106" s="45"/>
      <c r="L106" s="45"/>
      <c r="M106" s="45"/>
      <c r="N106" s="44"/>
      <c r="T106" s="13"/>
    </row>
    <row r="107" spans="2:20" ht="14.4" x14ac:dyDescent="0.3">
      <c r="B107" s="31"/>
      <c r="C107" s="32"/>
      <c r="D107" s="32"/>
      <c r="E107" s="34"/>
      <c r="F107" s="37"/>
      <c r="G107" s="39"/>
      <c r="H107" s="40"/>
      <c r="I107" s="41"/>
      <c r="J107" s="41"/>
      <c r="K107" s="42"/>
      <c r="L107" s="42"/>
      <c r="M107" s="42"/>
      <c r="N107" s="41"/>
      <c r="T107" s="13"/>
    </row>
    <row r="108" spans="2:20" ht="14.4" x14ac:dyDescent="0.3">
      <c r="B108" s="29"/>
      <c r="C108" s="30"/>
      <c r="D108" s="30"/>
      <c r="E108" s="33"/>
      <c r="F108" s="36"/>
      <c r="G108" s="39"/>
      <c r="H108" s="43"/>
      <c r="I108" s="44"/>
      <c r="J108" s="44"/>
      <c r="K108" s="45"/>
      <c r="L108" s="45"/>
      <c r="M108" s="45"/>
      <c r="N108" s="44"/>
      <c r="T108" s="13"/>
    </row>
    <row r="109" spans="2:20" ht="14.4" x14ac:dyDescent="0.3">
      <c r="B109" s="31"/>
      <c r="C109" s="32"/>
      <c r="D109" s="32"/>
      <c r="E109" s="34"/>
      <c r="F109" s="37"/>
      <c r="G109" s="39"/>
      <c r="H109" s="40"/>
      <c r="I109" s="41"/>
      <c r="J109" s="41"/>
      <c r="K109" s="42"/>
      <c r="L109" s="42"/>
      <c r="M109" s="42"/>
      <c r="N109" s="41"/>
      <c r="T109" s="13"/>
    </row>
    <row r="110" spans="2:20" ht="14.4" x14ac:dyDescent="0.3">
      <c r="B110" s="29"/>
      <c r="C110" s="30"/>
      <c r="D110" s="30"/>
      <c r="E110" s="33"/>
      <c r="F110" s="36"/>
      <c r="G110" s="39"/>
      <c r="H110" s="43"/>
      <c r="I110" s="44"/>
      <c r="J110" s="44"/>
      <c r="K110" s="45"/>
      <c r="L110" s="45"/>
      <c r="M110" s="45"/>
      <c r="N110" s="44"/>
      <c r="T110" s="13"/>
    </row>
    <row r="111" spans="2:20" ht="14.4" x14ac:dyDescent="0.3">
      <c r="B111" s="31"/>
      <c r="C111" s="32"/>
      <c r="D111" s="32"/>
      <c r="E111" s="34"/>
      <c r="F111" s="37"/>
      <c r="G111" s="39"/>
      <c r="H111" s="40"/>
      <c r="I111" s="41"/>
      <c r="J111" s="41"/>
      <c r="K111" s="42"/>
      <c r="L111" s="42"/>
      <c r="M111" s="42"/>
      <c r="N111" s="41"/>
      <c r="T111" s="13"/>
    </row>
    <row r="112" spans="2:20" ht="14.4" x14ac:dyDescent="0.3">
      <c r="B112" s="29"/>
      <c r="C112" s="30"/>
      <c r="D112" s="30"/>
      <c r="E112" s="33"/>
      <c r="F112" s="36"/>
      <c r="G112" s="39"/>
      <c r="H112" s="43"/>
      <c r="I112" s="44"/>
      <c r="J112" s="44"/>
      <c r="K112" s="45"/>
      <c r="L112" s="45"/>
      <c r="M112" s="45"/>
      <c r="N112" s="44"/>
      <c r="T112" s="13"/>
    </row>
    <row r="113" spans="2:20" ht="14.4" x14ac:dyDescent="0.3">
      <c r="B113" s="31"/>
      <c r="C113" s="32"/>
      <c r="D113" s="32"/>
      <c r="E113" s="34"/>
      <c r="F113" s="37"/>
      <c r="G113" s="39"/>
      <c r="H113" s="40"/>
      <c r="I113" s="41"/>
      <c r="J113" s="41"/>
      <c r="K113" s="42"/>
      <c r="L113" s="42"/>
      <c r="M113" s="42"/>
      <c r="N113" s="41"/>
      <c r="T113" s="13"/>
    </row>
    <row r="114" spans="2:20" ht="14.4" x14ac:dyDescent="0.3">
      <c r="B114" s="29"/>
      <c r="C114" s="30"/>
      <c r="D114" s="30"/>
      <c r="E114" s="33"/>
      <c r="F114" s="36"/>
      <c r="G114" s="39"/>
      <c r="H114" s="43"/>
      <c r="I114" s="44"/>
      <c r="J114" s="44"/>
      <c r="K114" s="45"/>
      <c r="L114" s="45"/>
      <c r="M114" s="45"/>
      <c r="N114" s="44"/>
      <c r="T114" s="13"/>
    </row>
    <row r="115" spans="2:20" ht="14.4" x14ac:dyDescent="0.3">
      <c r="B115" s="31"/>
      <c r="C115" s="32"/>
      <c r="D115" s="32"/>
      <c r="E115" s="34"/>
      <c r="F115" s="37"/>
      <c r="G115" s="39"/>
      <c r="H115" s="40"/>
      <c r="I115" s="41"/>
      <c r="J115" s="41"/>
      <c r="K115" s="42"/>
      <c r="L115" s="42"/>
      <c r="M115" s="42"/>
      <c r="N115" s="41"/>
      <c r="T115" s="13"/>
    </row>
    <row r="116" spans="2:20" ht="14.4" x14ac:dyDescent="0.3">
      <c r="B116" s="29"/>
      <c r="C116" s="30"/>
      <c r="D116" s="30"/>
      <c r="E116" s="33"/>
      <c r="F116" s="36"/>
      <c r="G116" s="39"/>
      <c r="H116" s="43"/>
      <c r="I116" s="44"/>
      <c r="J116" s="44"/>
      <c r="K116" s="45"/>
      <c r="L116" s="45"/>
      <c r="M116" s="45"/>
      <c r="N116" s="44"/>
      <c r="T116" s="13"/>
    </row>
    <row r="117" spans="2:20" ht="14.4" x14ac:dyDescent="0.3">
      <c r="B117" s="31"/>
      <c r="C117" s="32"/>
      <c r="D117" s="32"/>
      <c r="E117" s="34"/>
      <c r="F117" s="37"/>
      <c r="G117" s="39"/>
      <c r="H117" s="40"/>
      <c r="I117" s="41"/>
      <c r="J117" s="41"/>
      <c r="K117" s="42"/>
      <c r="L117" s="42"/>
      <c r="M117" s="42"/>
      <c r="N117" s="41"/>
      <c r="T117" s="13"/>
    </row>
    <row r="118" spans="2:20" ht="14.4" x14ac:dyDescent="0.3">
      <c r="B118" s="29"/>
      <c r="C118" s="30"/>
      <c r="D118" s="30"/>
      <c r="E118" s="33"/>
      <c r="F118" s="36"/>
      <c r="G118" s="39"/>
      <c r="H118" s="43"/>
      <c r="I118" s="44"/>
      <c r="J118" s="44"/>
      <c r="K118" s="45"/>
      <c r="L118" s="45"/>
      <c r="M118" s="45"/>
      <c r="N118" s="44"/>
      <c r="T118" s="13"/>
    </row>
    <row r="119" spans="2:20" ht="14.4" x14ac:dyDescent="0.3">
      <c r="B119" s="31"/>
      <c r="C119" s="32"/>
      <c r="D119" s="32"/>
      <c r="E119" s="34"/>
      <c r="F119" s="37"/>
      <c r="G119" s="39"/>
      <c r="H119" s="40"/>
      <c r="I119" s="41"/>
      <c r="J119" s="41"/>
      <c r="K119" s="42"/>
      <c r="L119" s="42"/>
      <c r="M119" s="42"/>
      <c r="N119" s="41"/>
      <c r="T119" s="13"/>
    </row>
    <row r="120" spans="2:20" ht="14.4" x14ac:dyDescent="0.3">
      <c r="B120" s="29"/>
      <c r="C120" s="30"/>
      <c r="D120" s="30"/>
      <c r="E120" s="33"/>
      <c r="F120" s="36"/>
      <c r="G120" s="39"/>
      <c r="H120" s="43"/>
      <c r="I120" s="44"/>
      <c r="J120" s="44"/>
      <c r="K120" s="45"/>
      <c r="L120" s="45"/>
      <c r="M120" s="45"/>
      <c r="N120" s="44"/>
      <c r="T120" s="13"/>
    </row>
    <row r="121" spans="2:20" ht="14.4" x14ac:dyDescent="0.3">
      <c r="B121" s="31"/>
      <c r="C121" s="32"/>
      <c r="D121" s="32"/>
      <c r="E121" s="34"/>
      <c r="F121" s="37"/>
      <c r="G121" s="39"/>
      <c r="H121" s="40"/>
      <c r="I121" s="41"/>
      <c r="J121" s="41"/>
      <c r="K121" s="42"/>
      <c r="L121" s="42"/>
      <c r="M121" s="42"/>
      <c r="N121" s="41"/>
      <c r="T121" s="13"/>
    </row>
    <row r="122" spans="2:20" ht="14.4" x14ac:dyDescent="0.3">
      <c r="B122" s="29"/>
      <c r="C122" s="30"/>
      <c r="D122" s="30"/>
      <c r="E122" s="33"/>
      <c r="F122" s="36"/>
      <c r="G122" s="39"/>
      <c r="H122" s="43"/>
      <c r="I122" s="44"/>
      <c r="J122" s="44"/>
      <c r="K122" s="45"/>
      <c r="L122" s="45"/>
      <c r="M122" s="45"/>
      <c r="N122" s="44"/>
      <c r="T122" s="13"/>
    </row>
    <row r="123" spans="2:20" ht="14.4" x14ac:dyDescent="0.3">
      <c r="B123" s="31"/>
      <c r="C123" s="32"/>
      <c r="D123" s="32"/>
      <c r="E123" s="34"/>
      <c r="F123" s="37"/>
      <c r="G123" s="39"/>
      <c r="H123" s="40"/>
      <c r="I123" s="41"/>
      <c r="J123" s="41"/>
      <c r="K123" s="42"/>
      <c r="L123" s="42"/>
      <c r="M123" s="42"/>
      <c r="N123" s="41"/>
      <c r="T123" s="13"/>
    </row>
    <row r="124" spans="2:20" ht="14.4" x14ac:dyDescent="0.3">
      <c r="B124" s="29"/>
      <c r="C124" s="30"/>
      <c r="D124" s="30"/>
      <c r="E124" s="33"/>
      <c r="F124" s="36"/>
      <c r="G124" s="39"/>
      <c r="H124" s="43"/>
      <c r="I124" s="44"/>
      <c r="J124" s="44"/>
      <c r="K124" s="45"/>
      <c r="L124" s="45"/>
      <c r="M124" s="45"/>
      <c r="N124" s="44"/>
      <c r="T124" s="13"/>
    </row>
    <row r="125" spans="2:20" ht="14.4" x14ac:dyDescent="0.3">
      <c r="B125" s="31"/>
      <c r="C125" s="32"/>
      <c r="D125" s="32"/>
      <c r="E125" s="34"/>
      <c r="F125" s="37"/>
      <c r="G125" s="39"/>
      <c r="H125" s="40"/>
      <c r="I125" s="41"/>
      <c r="J125" s="41"/>
      <c r="K125" s="42"/>
      <c r="L125" s="42"/>
      <c r="M125" s="42"/>
      <c r="N125" s="41"/>
      <c r="T125" s="13"/>
    </row>
    <row r="126" spans="2:20" ht="14.4" x14ac:dyDescent="0.3">
      <c r="B126" s="29"/>
      <c r="C126" s="30"/>
      <c r="D126" s="30"/>
      <c r="E126" s="33"/>
      <c r="F126" s="36"/>
      <c r="G126" s="39"/>
      <c r="H126" s="43"/>
      <c r="I126" s="44"/>
      <c r="J126" s="44"/>
      <c r="K126" s="45"/>
      <c r="L126" s="45"/>
      <c r="M126" s="45"/>
      <c r="N126" s="44"/>
      <c r="T126" s="13"/>
    </row>
    <row r="127" spans="2:20" ht="14.4" x14ac:dyDescent="0.3">
      <c r="B127" s="31"/>
      <c r="C127" s="32"/>
      <c r="D127" s="32"/>
      <c r="E127" s="34"/>
      <c r="F127" s="37"/>
      <c r="G127" s="39"/>
      <c r="H127" s="40"/>
      <c r="I127" s="41"/>
      <c r="J127" s="41"/>
      <c r="K127" s="42"/>
      <c r="L127" s="42"/>
      <c r="M127" s="42"/>
      <c r="N127" s="41"/>
      <c r="T127" s="13"/>
    </row>
    <row r="128" spans="2:20" ht="14.4" x14ac:dyDescent="0.3">
      <c r="B128" s="29"/>
      <c r="C128" s="30"/>
      <c r="D128" s="30"/>
      <c r="E128" s="33"/>
      <c r="F128" s="36"/>
      <c r="G128" s="39"/>
      <c r="H128" s="43"/>
      <c r="I128" s="44"/>
      <c r="J128" s="44"/>
      <c r="K128" s="45"/>
      <c r="L128" s="45"/>
      <c r="M128" s="45"/>
      <c r="N128" s="44"/>
      <c r="T128" s="13"/>
    </row>
    <row r="129" spans="2:20" ht="14.4" x14ac:dyDescent="0.3">
      <c r="B129" s="31"/>
      <c r="C129" s="32"/>
      <c r="D129" s="32"/>
      <c r="E129" s="34"/>
      <c r="F129" s="37"/>
      <c r="G129" s="39"/>
      <c r="H129" s="40"/>
      <c r="I129" s="41"/>
      <c r="J129" s="41"/>
      <c r="K129" s="42"/>
      <c r="L129" s="42"/>
      <c r="M129" s="42"/>
      <c r="N129" s="41"/>
      <c r="T129" s="13"/>
    </row>
    <row r="130" spans="2:20" ht="14.4" x14ac:dyDescent="0.3">
      <c r="B130" s="29"/>
      <c r="C130" s="30"/>
      <c r="D130" s="30"/>
      <c r="E130" s="33"/>
      <c r="F130" s="36"/>
      <c r="G130" s="39"/>
      <c r="H130" s="43"/>
      <c r="I130" s="44"/>
      <c r="J130" s="44"/>
      <c r="K130" s="45"/>
      <c r="L130" s="45"/>
      <c r="M130" s="45"/>
      <c r="N130" s="44"/>
      <c r="T130" s="13"/>
    </row>
    <row r="131" spans="2:20" ht="14.4" x14ac:dyDescent="0.3">
      <c r="B131" s="31"/>
      <c r="C131" s="32"/>
      <c r="D131" s="32"/>
      <c r="E131" s="34"/>
      <c r="F131" s="37"/>
      <c r="G131" s="39"/>
      <c r="H131" s="40"/>
      <c r="I131" s="41"/>
      <c r="J131" s="41"/>
      <c r="K131" s="42"/>
      <c r="L131" s="42"/>
      <c r="M131" s="42"/>
      <c r="N131" s="41"/>
      <c r="T131" s="13"/>
    </row>
    <row r="132" spans="2:20" ht="14.4" x14ac:dyDescent="0.3">
      <c r="B132" s="29"/>
      <c r="C132" s="30"/>
      <c r="D132" s="30"/>
      <c r="E132" s="33"/>
      <c r="F132" s="36"/>
      <c r="G132" s="39"/>
      <c r="H132" s="43"/>
      <c r="I132" s="44"/>
      <c r="J132" s="44"/>
      <c r="K132" s="45"/>
      <c r="L132" s="45"/>
      <c r="M132" s="45"/>
      <c r="N132" s="44"/>
      <c r="T132" s="13"/>
    </row>
    <row r="133" spans="2:20" ht="14.4" x14ac:dyDescent="0.3">
      <c r="B133" s="31"/>
      <c r="C133" s="32"/>
      <c r="D133" s="32"/>
      <c r="E133" s="34"/>
      <c r="F133" s="37"/>
      <c r="G133" s="39"/>
      <c r="H133" s="40"/>
      <c r="I133" s="41"/>
      <c r="J133" s="41"/>
      <c r="K133" s="42"/>
      <c r="L133" s="42"/>
      <c r="M133" s="42"/>
      <c r="N133" s="41"/>
      <c r="T133" s="13"/>
    </row>
    <row r="134" spans="2:20" ht="14.4" x14ac:dyDescent="0.3">
      <c r="B134" s="29"/>
      <c r="C134" s="30"/>
      <c r="D134" s="30"/>
      <c r="E134" s="33"/>
      <c r="F134" s="36"/>
      <c r="G134" s="39"/>
      <c r="H134" s="43"/>
      <c r="I134" s="44"/>
      <c r="J134" s="44"/>
      <c r="K134" s="45"/>
      <c r="L134" s="45"/>
      <c r="M134" s="45"/>
      <c r="N134" s="44"/>
      <c r="T134" s="13"/>
    </row>
    <row r="135" spans="2:20" ht="14.4" x14ac:dyDescent="0.3">
      <c r="B135" s="31"/>
      <c r="C135" s="32"/>
      <c r="D135" s="32"/>
      <c r="E135" s="34"/>
      <c r="F135" s="37"/>
      <c r="G135" s="39"/>
      <c r="H135" s="40"/>
      <c r="I135" s="41"/>
      <c r="J135" s="41"/>
      <c r="K135" s="42"/>
      <c r="L135" s="42"/>
      <c r="M135" s="42"/>
      <c r="N135" s="41"/>
      <c r="T135" s="13"/>
    </row>
    <row r="136" spans="2:20" ht="14.4" x14ac:dyDescent="0.3">
      <c r="B136" s="29"/>
      <c r="C136" s="30"/>
      <c r="D136" s="30"/>
      <c r="E136" s="33"/>
      <c r="F136" s="36"/>
      <c r="G136" s="39"/>
      <c r="H136" s="43"/>
      <c r="I136" s="44"/>
      <c r="J136" s="44"/>
      <c r="K136" s="45"/>
      <c r="L136" s="45"/>
      <c r="M136" s="45"/>
      <c r="N136" s="44"/>
      <c r="T136" s="13"/>
    </row>
    <row r="137" spans="2:20" ht="14.4" x14ac:dyDescent="0.3">
      <c r="B137" s="31"/>
      <c r="C137" s="32"/>
      <c r="D137" s="32"/>
      <c r="E137" s="34"/>
      <c r="F137" s="37"/>
      <c r="G137" s="39"/>
      <c r="H137" s="40"/>
      <c r="I137" s="41"/>
      <c r="J137" s="41"/>
      <c r="K137" s="42"/>
      <c r="L137" s="42"/>
      <c r="M137" s="42"/>
      <c r="N137" s="41"/>
      <c r="T137" s="13"/>
    </row>
    <row r="138" spans="2:20" ht="14.4" x14ac:dyDescent="0.3">
      <c r="B138" s="29"/>
      <c r="C138" s="30"/>
      <c r="D138" s="30"/>
      <c r="E138" s="33"/>
      <c r="F138" s="36"/>
      <c r="G138" s="39"/>
      <c r="H138" s="43"/>
      <c r="I138" s="44"/>
      <c r="J138" s="44"/>
      <c r="K138" s="45"/>
      <c r="L138" s="45"/>
      <c r="M138" s="45"/>
      <c r="N138" s="44"/>
      <c r="T138" s="13"/>
    </row>
    <row r="139" spans="2:20" ht="14.4" x14ac:dyDescent="0.3">
      <c r="B139" s="31"/>
      <c r="C139" s="32"/>
      <c r="D139" s="32"/>
      <c r="E139" s="34"/>
      <c r="F139" s="37"/>
      <c r="G139" s="39"/>
      <c r="H139" s="40"/>
      <c r="I139" s="41"/>
      <c r="J139" s="41"/>
      <c r="K139" s="42"/>
      <c r="L139" s="42"/>
      <c r="M139" s="42"/>
      <c r="N139" s="41"/>
      <c r="T139" s="13"/>
    </row>
    <row r="140" spans="2:20" ht="14.4" x14ac:dyDescent="0.3">
      <c r="B140" s="29"/>
      <c r="C140" s="30"/>
      <c r="D140" s="30"/>
      <c r="E140" s="33"/>
      <c r="F140" s="36"/>
      <c r="G140" s="39"/>
      <c r="H140" s="43"/>
      <c r="I140" s="44"/>
      <c r="J140" s="44"/>
      <c r="K140" s="45"/>
      <c r="L140" s="45"/>
      <c r="M140" s="45"/>
      <c r="N140" s="44"/>
      <c r="T140" s="13"/>
    </row>
    <row r="141" spans="2:20" ht="14.4" x14ac:dyDescent="0.3">
      <c r="B141" s="31"/>
      <c r="C141" s="32"/>
      <c r="D141" s="32"/>
      <c r="E141" s="34"/>
      <c r="F141" s="37"/>
      <c r="G141" s="39"/>
      <c r="H141" s="40"/>
      <c r="I141" s="41"/>
      <c r="J141" s="41"/>
      <c r="K141" s="42"/>
      <c r="L141" s="42"/>
      <c r="M141" s="42"/>
      <c r="N141" s="41"/>
      <c r="T141" s="13"/>
    </row>
    <row r="142" spans="2:20" ht="14.4" x14ac:dyDescent="0.3">
      <c r="B142" s="29"/>
      <c r="C142" s="30"/>
      <c r="D142" s="30"/>
      <c r="E142" s="33"/>
      <c r="F142" s="36"/>
      <c r="G142" s="39"/>
      <c r="H142" s="43"/>
      <c r="I142" s="44"/>
      <c r="J142" s="44"/>
      <c r="K142" s="45"/>
      <c r="L142" s="45"/>
      <c r="M142" s="45"/>
      <c r="N142" s="44"/>
      <c r="T142" s="13"/>
    </row>
    <row r="143" spans="2:20" ht="14.4" x14ac:dyDescent="0.3">
      <c r="B143" s="31"/>
      <c r="C143" s="32"/>
      <c r="D143" s="32"/>
      <c r="E143" s="34"/>
      <c r="F143" s="37"/>
      <c r="G143" s="39"/>
      <c r="H143" s="40"/>
      <c r="I143" s="41"/>
      <c r="J143" s="41"/>
      <c r="K143" s="42"/>
      <c r="L143" s="42"/>
      <c r="M143" s="42"/>
      <c r="N143" s="41"/>
      <c r="T143" s="13"/>
    </row>
    <row r="144" spans="2:20" ht="14.4" x14ac:dyDescent="0.3">
      <c r="B144" s="29"/>
      <c r="C144" s="30"/>
      <c r="D144" s="30"/>
      <c r="E144" s="33"/>
      <c r="F144" s="36"/>
      <c r="G144" s="39"/>
      <c r="H144" s="43"/>
      <c r="I144" s="44"/>
      <c r="J144" s="44"/>
      <c r="K144" s="45"/>
      <c r="L144" s="45"/>
      <c r="M144" s="45"/>
      <c r="N144" s="44"/>
      <c r="T144" s="13"/>
    </row>
    <row r="145" spans="2:20" ht="14.4" x14ac:dyDescent="0.3">
      <c r="B145" s="31"/>
      <c r="C145" s="32"/>
      <c r="D145" s="32"/>
      <c r="E145" s="34"/>
      <c r="F145" s="37"/>
      <c r="G145" s="39"/>
      <c r="H145" s="40"/>
      <c r="I145" s="41"/>
      <c r="J145" s="41"/>
      <c r="K145" s="42"/>
      <c r="L145" s="42"/>
      <c r="M145" s="42"/>
      <c r="N145" s="41"/>
      <c r="T145" s="13"/>
    </row>
    <row r="146" spans="2:20" ht="14.4" x14ac:dyDescent="0.3">
      <c r="B146" s="29"/>
      <c r="C146" s="30"/>
      <c r="D146" s="30"/>
      <c r="E146" s="33"/>
      <c r="F146" s="36"/>
      <c r="G146" s="39"/>
      <c r="H146" s="43"/>
      <c r="I146" s="44"/>
      <c r="J146" s="44"/>
      <c r="K146" s="45"/>
      <c r="L146" s="45"/>
      <c r="M146" s="45"/>
      <c r="N146" s="44"/>
      <c r="T146" s="13"/>
    </row>
    <row r="147" spans="2:20" ht="14.4" x14ac:dyDescent="0.3">
      <c r="B147" s="31"/>
      <c r="C147" s="32"/>
      <c r="D147" s="32"/>
      <c r="E147" s="34"/>
      <c r="F147" s="37"/>
      <c r="G147" s="39"/>
      <c r="H147" s="40"/>
      <c r="I147" s="41"/>
      <c r="J147" s="41"/>
      <c r="K147" s="42"/>
      <c r="L147" s="42"/>
      <c r="M147" s="42"/>
      <c r="N147" s="41"/>
      <c r="T147" s="13"/>
    </row>
    <row r="148" spans="2:20" ht="14.4" x14ac:dyDescent="0.3">
      <c r="B148" s="29"/>
      <c r="C148" s="30"/>
      <c r="D148" s="30"/>
      <c r="E148" s="33"/>
      <c r="F148" s="36"/>
      <c r="G148" s="39"/>
      <c r="H148" s="43"/>
      <c r="I148" s="44"/>
      <c r="J148" s="44"/>
      <c r="K148" s="45"/>
      <c r="L148" s="45"/>
      <c r="M148" s="45"/>
      <c r="N148" s="44"/>
      <c r="T148" s="13"/>
    </row>
    <row r="149" spans="2:20" ht="14.4" x14ac:dyDescent="0.3">
      <c r="B149" s="31"/>
      <c r="C149" s="32"/>
      <c r="D149" s="32"/>
      <c r="E149" s="34"/>
      <c r="F149" s="37"/>
      <c r="G149" s="39"/>
      <c r="H149" s="40"/>
      <c r="I149" s="41"/>
      <c r="J149" s="41"/>
      <c r="K149" s="42"/>
      <c r="L149" s="42"/>
      <c r="M149" s="42"/>
      <c r="N149" s="41"/>
      <c r="T149" s="13"/>
    </row>
    <row r="150" spans="2:20" ht="14.4" x14ac:dyDescent="0.3">
      <c r="B150" s="29"/>
      <c r="C150" s="30"/>
      <c r="D150" s="30"/>
      <c r="E150" s="33"/>
      <c r="F150" s="36"/>
      <c r="G150" s="39"/>
      <c r="H150" s="43"/>
      <c r="I150" s="44"/>
      <c r="J150" s="44"/>
      <c r="K150" s="45"/>
      <c r="L150" s="45"/>
      <c r="M150" s="45"/>
      <c r="N150" s="44"/>
      <c r="T150" s="13"/>
    </row>
    <row r="151" spans="2:20" ht="14.4" x14ac:dyDescent="0.3">
      <c r="B151" s="31"/>
      <c r="C151" s="32"/>
      <c r="D151" s="32"/>
      <c r="E151" s="34"/>
      <c r="F151" s="37"/>
      <c r="G151" s="39"/>
      <c r="H151" s="40"/>
      <c r="I151" s="41"/>
      <c r="J151" s="41"/>
      <c r="K151" s="42"/>
      <c r="L151" s="42"/>
      <c r="M151" s="42"/>
      <c r="N151" s="41"/>
      <c r="T151" s="13"/>
    </row>
    <row r="152" spans="2:20" ht="14.4" x14ac:dyDescent="0.3">
      <c r="B152" s="29"/>
      <c r="C152" s="30"/>
      <c r="D152" s="30"/>
      <c r="E152" s="33"/>
      <c r="F152" s="36"/>
      <c r="G152" s="39"/>
      <c r="H152" s="43"/>
      <c r="I152" s="44"/>
      <c r="J152" s="44"/>
      <c r="K152" s="45"/>
      <c r="L152" s="45"/>
      <c r="M152" s="45"/>
      <c r="N152" s="44"/>
      <c r="T152" s="13"/>
    </row>
    <row r="153" spans="2:20" ht="14.4" x14ac:dyDescent="0.3">
      <c r="B153" s="31"/>
      <c r="C153" s="32"/>
      <c r="D153" s="32"/>
      <c r="E153" s="34"/>
      <c r="F153" s="37"/>
      <c r="G153" s="39"/>
      <c r="H153" s="40"/>
      <c r="I153" s="41"/>
      <c r="J153" s="41"/>
      <c r="K153" s="42"/>
      <c r="L153" s="42"/>
      <c r="M153" s="42"/>
      <c r="N153" s="41"/>
      <c r="T153" s="13"/>
    </row>
    <row r="154" spans="2:20" ht="14.4" x14ac:dyDescent="0.3">
      <c r="B154" s="29"/>
      <c r="C154" s="30"/>
      <c r="D154" s="30"/>
      <c r="E154" s="33"/>
      <c r="F154" s="36"/>
      <c r="G154" s="39"/>
      <c r="H154" s="43"/>
      <c r="I154" s="44"/>
      <c r="J154" s="44"/>
      <c r="K154" s="45"/>
      <c r="L154" s="45"/>
      <c r="M154" s="45"/>
      <c r="N154" s="44"/>
      <c r="T154" s="13"/>
    </row>
    <row r="155" spans="2:20" ht="14.4" x14ac:dyDescent="0.3">
      <c r="B155" s="31"/>
      <c r="C155" s="32"/>
      <c r="D155" s="32"/>
      <c r="E155" s="34"/>
      <c r="F155" s="37"/>
      <c r="G155" s="39"/>
      <c r="H155" s="40"/>
      <c r="I155" s="41"/>
      <c r="J155" s="41"/>
      <c r="K155" s="42"/>
      <c r="L155" s="42"/>
      <c r="M155" s="42"/>
      <c r="N155" s="41"/>
      <c r="T155" s="13"/>
    </row>
    <row r="156" spans="2:20" ht="14.4" x14ac:dyDescent="0.3">
      <c r="B156" s="29"/>
      <c r="C156" s="30"/>
      <c r="D156" s="30"/>
      <c r="E156" s="33"/>
      <c r="F156" s="36"/>
      <c r="G156" s="39"/>
      <c r="H156" s="43"/>
      <c r="I156" s="44"/>
      <c r="J156" s="44"/>
      <c r="K156" s="45"/>
      <c r="L156" s="45"/>
      <c r="M156" s="45"/>
      <c r="N156" s="44"/>
      <c r="T156" s="13"/>
    </row>
    <row r="157" spans="2:20" ht="14.4" x14ac:dyDescent="0.3">
      <c r="B157" s="31"/>
      <c r="C157" s="32"/>
      <c r="D157" s="32"/>
      <c r="E157" s="34"/>
      <c r="F157" s="37"/>
      <c r="G157" s="39"/>
      <c r="H157" s="40"/>
      <c r="I157" s="41"/>
      <c r="J157" s="41"/>
      <c r="K157" s="42"/>
      <c r="L157" s="42"/>
      <c r="M157" s="42"/>
      <c r="N157" s="41"/>
      <c r="T157" s="13"/>
    </row>
    <row r="158" spans="2:20" ht="14.4" x14ac:dyDescent="0.3">
      <c r="B158" s="29"/>
      <c r="C158" s="30"/>
      <c r="D158" s="30"/>
      <c r="E158" s="33"/>
      <c r="F158" s="36"/>
      <c r="G158" s="39"/>
      <c r="H158" s="43"/>
      <c r="I158" s="44"/>
      <c r="J158" s="44"/>
      <c r="K158" s="45"/>
      <c r="L158" s="45"/>
      <c r="M158" s="45"/>
      <c r="N158" s="44"/>
      <c r="T158" s="13"/>
    </row>
    <row r="159" spans="2:20" ht="14.4" x14ac:dyDescent="0.3">
      <c r="B159" s="31"/>
      <c r="C159" s="32"/>
      <c r="D159" s="32"/>
      <c r="E159" s="34"/>
      <c r="F159" s="37"/>
      <c r="G159" s="39"/>
      <c r="H159" s="40"/>
      <c r="I159" s="41"/>
      <c r="J159" s="41"/>
      <c r="K159" s="42"/>
      <c r="L159" s="42"/>
      <c r="M159" s="42"/>
      <c r="N159" s="41"/>
      <c r="T159" s="13"/>
    </row>
    <row r="160" spans="2:20" ht="14.4" x14ac:dyDescent="0.3">
      <c r="B160" s="29"/>
      <c r="C160" s="30"/>
      <c r="D160" s="30"/>
      <c r="E160" s="33"/>
      <c r="F160" s="36"/>
      <c r="G160" s="39"/>
      <c r="H160" s="43"/>
      <c r="I160" s="44"/>
      <c r="J160" s="44"/>
      <c r="K160" s="45"/>
      <c r="L160" s="45"/>
      <c r="M160" s="45"/>
      <c r="N160" s="44"/>
      <c r="T160" s="13"/>
    </row>
    <row r="161" spans="2:20" ht="14.4" x14ac:dyDescent="0.3">
      <c r="B161" s="31"/>
      <c r="C161" s="32"/>
      <c r="D161" s="32"/>
      <c r="E161" s="34"/>
      <c r="F161" s="37"/>
      <c r="G161" s="39"/>
      <c r="H161" s="40"/>
      <c r="I161" s="41"/>
      <c r="J161" s="41"/>
      <c r="K161" s="42"/>
      <c r="L161" s="42"/>
      <c r="M161" s="42"/>
      <c r="N161" s="41"/>
      <c r="T161" s="13"/>
    </row>
    <row r="162" spans="2:20" ht="14.4" x14ac:dyDescent="0.3">
      <c r="B162" s="29"/>
      <c r="C162" s="30"/>
      <c r="D162" s="30"/>
      <c r="E162" s="33"/>
      <c r="F162" s="36"/>
      <c r="G162" s="39"/>
      <c r="H162" s="43"/>
      <c r="I162" s="44"/>
      <c r="J162" s="44"/>
      <c r="K162" s="45"/>
      <c r="L162" s="45"/>
      <c r="M162" s="45"/>
      <c r="N162" s="44"/>
      <c r="T162" s="13"/>
    </row>
    <row r="163" spans="2:20" ht="14.4" x14ac:dyDescent="0.3">
      <c r="B163" s="31"/>
      <c r="C163" s="32"/>
      <c r="D163" s="32"/>
      <c r="E163" s="34"/>
      <c r="F163" s="37"/>
      <c r="G163" s="39"/>
      <c r="H163" s="40"/>
      <c r="I163" s="41"/>
      <c r="J163" s="41"/>
      <c r="K163" s="42"/>
      <c r="L163" s="42"/>
      <c r="M163" s="42"/>
      <c r="N163" s="41"/>
      <c r="T163" s="13"/>
    </row>
    <row r="164" spans="2:20" ht="14.4" x14ac:dyDescent="0.3">
      <c r="B164" s="29"/>
      <c r="C164" s="30"/>
      <c r="D164" s="30"/>
      <c r="E164" s="33"/>
      <c r="F164" s="36"/>
      <c r="G164" s="39"/>
      <c r="H164" s="43"/>
      <c r="I164" s="44"/>
      <c r="J164" s="44"/>
      <c r="K164" s="45"/>
      <c r="L164" s="45"/>
      <c r="M164" s="45"/>
      <c r="N164" s="44"/>
      <c r="T164" s="13"/>
    </row>
    <row r="165" spans="2:20" ht="14.4" x14ac:dyDescent="0.3">
      <c r="B165" s="31"/>
      <c r="C165" s="32"/>
      <c r="D165" s="32"/>
      <c r="E165" s="34"/>
      <c r="F165" s="37"/>
      <c r="G165" s="39"/>
      <c r="H165" s="40"/>
      <c r="I165" s="41"/>
      <c r="J165" s="41"/>
      <c r="K165" s="42"/>
      <c r="L165" s="42"/>
      <c r="M165" s="42"/>
      <c r="N165" s="41"/>
      <c r="T165" s="13"/>
    </row>
    <row r="166" spans="2:20" ht="14.4" x14ac:dyDescent="0.3">
      <c r="B166" s="29"/>
      <c r="C166" s="30"/>
      <c r="D166" s="30"/>
      <c r="E166" s="33"/>
      <c r="F166" s="36"/>
      <c r="G166" s="39"/>
      <c r="H166" s="43"/>
      <c r="I166" s="44"/>
      <c r="J166" s="44"/>
      <c r="K166" s="45"/>
      <c r="L166" s="45"/>
      <c r="M166" s="45"/>
      <c r="N166" s="44"/>
      <c r="T166" s="13"/>
    </row>
    <row r="167" spans="2:20" ht="14.4" x14ac:dyDescent="0.3">
      <c r="B167" s="31"/>
      <c r="C167" s="32"/>
      <c r="D167" s="32"/>
      <c r="E167" s="34"/>
      <c r="F167" s="37"/>
      <c r="G167" s="39"/>
      <c r="H167" s="40"/>
      <c r="I167" s="41"/>
      <c r="J167" s="41"/>
      <c r="K167" s="42"/>
      <c r="L167" s="42"/>
      <c r="M167" s="42"/>
      <c r="N167" s="41"/>
      <c r="T167" s="13"/>
    </row>
    <row r="168" spans="2:20" ht="14.4" x14ac:dyDescent="0.3">
      <c r="B168" s="29"/>
      <c r="C168" s="30"/>
      <c r="D168" s="30"/>
      <c r="E168" s="33"/>
      <c r="F168" s="36"/>
      <c r="G168" s="39"/>
      <c r="H168" s="43"/>
      <c r="I168" s="44"/>
      <c r="J168" s="44"/>
      <c r="K168" s="45"/>
      <c r="L168" s="45"/>
      <c r="M168" s="45"/>
      <c r="N168" s="44"/>
      <c r="T168" s="13"/>
    </row>
    <row r="169" spans="2:20" ht="14.4" x14ac:dyDescent="0.3">
      <c r="B169" s="31"/>
      <c r="C169" s="32"/>
      <c r="D169" s="32"/>
      <c r="E169" s="34"/>
      <c r="F169" s="37"/>
      <c r="G169" s="39"/>
      <c r="H169" s="40"/>
      <c r="I169" s="41"/>
      <c r="J169" s="41"/>
      <c r="K169" s="42"/>
      <c r="L169" s="42"/>
      <c r="M169" s="42"/>
      <c r="N169" s="41"/>
      <c r="T169" s="13"/>
    </row>
    <row r="170" spans="2:20" ht="14.4" x14ac:dyDescent="0.3">
      <c r="B170" s="29"/>
      <c r="C170" s="30"/>
      <c r="D170" s="30"/>
      <c r="E170" s="33"/>
      <c r="F170" s="36"/>
      <c r="G170" s="39"/>
      <c r="H170" s="43"/>
      <c r="I170" s="44"/>
      <c r="J170" s="44"/>
      <c r="K170" s="45"/>
      <c r="L170" s="45"/>
      <c r="M170" s="45"/>
      <c r="N170" s="44"/>
      <c r="T170" s="13"/>
    </row>
    <row r="171" spans="2:20" ht="14.4" x14ac:dyDescent="0.3">
      <c r="B171" s="31"/>
      <c r="C171" s="32"/>
      <c r="D171" s="32"/>
      <c r="E171" s="34"/>
      <c r="F171" s="37"/>
      <c r="G171" s="39"/>
      <c r="H171" s="40"/>
      <c r="I171" s="41"/>
      <c r="J171" s="41"/>
      <c r="K171" s="42"/>
      <c r="L171" s="42"/>
      <c r="M171" s="42"/>
      <c r="N171" s="41"/>
      <c r="T171" s="13"/>
    </row>
    <row r="172" spans="2:20" ht="14.4" x14ac:dyDescent="0.3">
      <c r="B172" s="29"/>
      <c r="C172" s="30"/>
      <c r="D172" s="30"/>
      <c r="E172" s="33"/>
      <c r="F172" s="36"/>
      <c r="G172" s="39"/>
      <c r="H172" s="43"/>
      <c r="I172" s="44"/>
      <c r="J172" s="44"/>
      <c r="K172" s="45"/>
      <c r="L172" s="45"/>
      <c r="M172" s="45"/>
      <c r="N172" s="44"/>
      <c r="T172" s="13"/>
    </row>
    <row r="173" spans="2:20" ht="14.4" x14ac:dyDescent="0.3">
      <c r="B173" s="31"/>
      <c r="C173" s="32"/>
      <c r="D173" s="32"/>
      <c r="E173" s="34"/>
      <c r="F173" s="37"/>
      <c r="G173" s="39"/>
      <c r="H173" s="40"/>
      <c r="I173" s="41"/>
      <c r="J173" s="41"/>
      <c r="K173" s="42"/>
      <c r="L173" s="42"/>
      <c r="M173" s="42"/>
      <c r="N173" s="41"/>
      <c r="T173" s="13"/>
    </row>
    <row r="174" spans="2:20" ht="14.4" x14ac:dyDescent="0.3">
      <c r="B174" s="29"/>
      <c r="C174" s="30"/>
      <c r="D174" s="30"/>
      <c r="E174" s="33"/>
      <c r="F174" s="36"/>
      <c r="G174" s="39"/>
      <c r="H174" s="43"/>
      <c r="I174" s="44"/>
      <c r="J174" s="44"/>
      <c r="K174" s="45"/>
      <c r="L174" s="45"/>
      <c r="M174" s="45"/>
      <c r="N174" s="44"/>
      <c r="T174" s="13"/>
    </row>
    <row r="175" spans="2:20" ht="14.4" x14ac:dyDescent="0.3">
      <c r="B175" s="31"/>
      <c r="C175" s="32"/>
      <c r="D175" s="32"/>
      <c r="E175" s="34"/>
      <c r="F175" s="37"/>
      <c r="G175" s="39"/>
      <c r="H175" s="40"/>
      <c r="I175" s="41"/>
      <c r="J175" s="41"/>
      <c r="K175" s="42"/>
      <c r="L175" s="42"/>
      <c r="M175" s="42"/>
      <c r="N175" s="41"/>
      <c r="T175" s="13"/>
    </row>
    <row r="176" spans="2:20" ht="14.4" x14ac:dyDescent="0.3">
      <c r="B176" s="29"/>
      <c r="C176" s="30"/>
      <c r="D176" s="30"/>
      <c r="E176" s="33"/>
      <c r="F176" s="36"/>
      <c r="G176" s="39"/>
      <c r="H176" s="43"/>
      <c r="I176" s="44"/>
      <c r="J176" s="44"/>
      <c r="K176" s="45"/>
      <c r="L176" s="45"/>
      <c r="M176" s="45"/>
      <c r="N176" s="44"/>
      <c r="T176" s="13"/>
    </row>
    <row r="177" spans="2:20" ht="14.4" x14ac:dyDescent="0.3">
      <c r="B177" s="31"/>
      <c r="C177" s="32"/>
      <c r="D177" s="32"/>
      <c r="E177" s="34"/>
      <c r="F177" s="37"/>
      <c r="G177" s="39"/>
      <c r="H177" s="40"/>
      <c r="I177" s="41"/>
      <c r="J177" s="41"/>
      <c r="K177" s="42"/>
      <c r="L177" s="42"/>
      <c r="M177" s="42"/>
      <c r="N177" s="41"/>
      <c r="T177" s="13"/>
    </row>
    <row r="178" spans="2:20" ht="14.4" x14ac:dyDescent="0.3">
      <c r="B178" s="29"/>
      <c r="C178" s="30"/>
      <c r="D178" s="30"/>
      <c r="E178" s="33"/>
      <c r="F178" s="36"/>
      <c r="G178" s="39"/>
      <c r="H178" s="43"/>
      <c r="I178" s="44"/>
      <c r="J178" s="44"/>
      <c r="K178" s="45"/>
      <c r="L178" s="45"/>
      <c r="M178" s="45"/>
      <c r="N178" s="44"/>
      <c r="T178" s="13"/>
    </row>
    <row r="179" spans="2:20" ht="14.4" x14ac:dyDescent="0.3">
      <c r="B179" s="31"/>
      <c r="C179" s="32"/>
      <c r="D179" s="32"/>
      <c r="E179" s="34"/>
      <c r="F179" s="37"/>
      <c r="G179" s="39"/>
      <c r="H179" s="40"/>
      <c r="I179" s="41"/>
      <c r="J179" s="41"/>
      <c r="K179" s="42"/>
      <c r="L179" s="42"/>
      <c r="M179" s="42"/>
      <c r="N179" s="41"/>
      <c r="T179" s="13"/>
    </row>
    <row r="180" spans="2:20" ht="14.4" x14ac:dyDescent="0.3">
      <c r="B180" s="29"/>
      <c r="C180" s="30"/>
      <c r="D180" s="30"/>
      <c r="E180" s="33"/>
      <c r="F180" s="36"/>
      <c r="G180" s="39"/>
      <c r="H180" s="43"/>
      <c r="I180" s="44"/>
      <c r="J180" s="44"/>
      <c r="K180" s="45"/>
      <c r="L180" s="45"/>
      <c r="M180" s="45"/>
      <c r="N180" s="44"/>
      <c r="T180" s="13"/>
    </row>
    <row r="181" spans="2:20" ht="14.4" x14ac:dyDescent="0.3">
      <c r="B181" s="31"/>
      <c r="C181" s="32"/>
      <c r="D181" s="32"/>
      <c r="E181" s="34"/>
      <c r="F181" s="37"/>
      <c r="G181" s="39"/>
      <c r="H181" s="40"/>
      <c r="I181" s="41"/>
      <c r="J181" s="41"/>
      <c r="K181" s="42"/>
      <c r="L181" s="42"/>
      <c r="M181" s="42"/>
      <c r="N181" s="41"/>
      <c r="T181" s="13"/>
    </row>
    <row r="182" spans="2:20" ht="14.4" x14ac:dyDescent="0.3">
      <c r="B182" s="29"/>
      <c r="C182" s="30"/>
      <c r="D182" s="30"/>
      <c r="E182" s="33"/>
      <c r="F182" s="36"/>
      <c r="G182" s="39"/>
      <c r="H182" s="43"/>
      <c r="I182" s="44"/>
      <c r="J182" s="44"/>
      <c r="K182" s="45"/>
      <c r="L182" s="45"/>
      <c r="M182" s="45"/>
      <c r="N182" s="44"/>
      <c r="T182" s="13"/>
    </row>
    <row r="183" spans="2:20" ht="14.4" x14ac:dyDescent="0.3">
      <c r="B183" s="31"/>
      <c r="C183" s="32"/>
      <c r="D183" s="32"/>
      <c r="E183" s="34"/>
      <c r="F183" s="37"/>
      <c r="G183" s="39"/>
      <c r="H183" s="40"/>
      <c r="I183" s="41"/>
      <c r="J183" s="41"/>
      <c r="K183" s="42"/>
      <c r="L183" s="42"/>
      <c r="M183" s="42"/>
      <c r="N183" s="41"/>
      <c r="T183" s="13"/>
    </row>
    <row r="184" spans="2:20" ht="14.4" x14ac:dyDescent="0.3">
      <c r="B184" s="29"/>
      <c r="C184" s="30"/>
      <c r="D184" s="30"/>
      <c r="E184" s="33"/>
      <c r="F184" s="36"/>
      <c r="G184" s="39"/>
      <c r="H184" s="43"/>
      <c r="I184" s="44"/>
      <c r="J184" s="44"/>
      <c r="K184" s="45"/>
      <c r="L184" s="45"/>
      <c r="M184" s="45"/>
      <c r="N184" s="44"/>
      <c r="T184" s="13"/>
    </row>
    <row r="185" spans="2:20" ht="14.4" x14ac:dyDescent="0.3">
      <c r="B185" s="31"/>
      <c r="C185" s="32"/>
      <c r="D185" s="32"/>
      <c r="E185" s="34"/>
      <c r="F185" s="37"/>
      <c r="G185" s="39"/>
      <c r="H185" s="40"/>
      <c r="I185" s="41"/>
      <c r="J185" s="41"/>
      <c r="K185" s="42"/>
      <c r="L185" s="42"/>
      <c r="M185" s="42"/>
      <c r="N185" s="41"/>
      <c r="T185" s="13"/>
    </row>
    <row r="186" spans="2:20" ht="14.4" x14ac:dyDescent="0.3">
      <c r="B186" s="29"/>
      <c r="C186" s="30"/>
      <c r="D186" s="30"/>
      <c r="E186" s="33"/>
      <c r="F186" s="36"/>
      <c r="G186" s="39"/>
      <c r="H186" s="43"/>
      <c r="I186" s="44"/>
      <c r="J186" s="44"/>
      <c r="K186" s="45"/>
      <c r="L186" s="45"/>
      <c r="M186" s="45"/>
      <c r="N186" s="44"/>
      <c r="T186" s="13"/>
    </row>
    <row r="187" spans="2:20" ht="14.4" x14ac:dyDescent="0.3">
      <c r="B187" s="31"/>
      <c r="C187" s="32"/>
      <c r="D187" s="32"/>
      <c r="E187" s="34"/>
      <c r="F187" s="37"/>
      <c r="G187" s="39"/>
      <c r="H187" s="40"/>
      <c r="I187" s="41"/>
      <c r="J187" s="41"/>
      <c r="K187" s="42"/>
      <c r="L187" s="42"/>
      <c r="M187" s="42"/>
      <c r="N187" s="41"/>
      <c r="T187" s="13"/>
    </row>
    <row r="188" spans="2:20" ht="14.4" x14ac:dyDescent="0.3">
      <c r="B188" s="29"/>
      <c r="C188" s="30"/>
      <c r="D188" s="30"/>
      <c r="E188" s="33"/>
      <c r="F188" s="36"/>
      <c r="G188" s="39"/>
      <c r="H188" s="43"/>
      <c r="I188" s="44"/>
      <c r="J188" s="44"/>
      <c r="K188" s="45"/>
      <c r="L188" s="45"/>
      <c r="M188" s="45"/>
      <c r="N188" s="44"/>
      <c r="T188" s="13"/>
    </row>
    <row r="189" spans="2:20" ht="14.4" x14ac:dyDescent="0.3">
      <c r="B189" s="31"/>
      <c r="C189" s="32"/>
      <c r="D189" s="32"/>
      <c r="E189" s="34"/>
      <c r="F189" s="37"/>
      <c r="G189" s="39"/>
      <c r="H189" s="40"/>
      <c r="I189" s="41"/>
      <c r="J189" s="41"/>
      <c r="K189" s="42"/>
      <c r="L189" s="42"/>
      <c r="M189" s="42"/>
      <c r="N189" s="41"/>
      <c r="T189" s="13"/>
    </row>
    <row r="190" spans="2:20" ht="14.4" x14ac:dyDescent="0.3">
      <c r="B190" s="29"/>
      <c r="C190" s="30"/>
      <c r="D190" s="30"/>
      <c r="E190" s="33"/>
      <c r="F190" s="36"/>
      <c r="G190" s="39"/>
      <c r="H190" s="43"/>
      <c r="I190" s="44"/>
      <c r="J190" s="44"/>
      <c r="K190" s="45"/>
      <c r="L190" s="45"/>
      <c r="M190" s="45"/>
      <c r="N190" s="44"/>
      <c r="T190" s="13"/>
    </row>
    <row r="191" spans="2:20" ht="14.4" x14ac:dyDescent="0.3">
      <c r="B191" s="31"/>
      <c r="C191" s="32"/>
      <c r="D191" s="32"/>
      <c r="E191" s="34"/>
      <c r="F191" s="37"/>
      <c r="G191" s="39"/>
      <c r="H191" s="40"/>
      <c r="I191" s="41"/>
      <c r="J191" s="41"/>
      <c r="K191" s="42"/>
      <c r="L191" s="42"/>
      <c r="M191" s="42"/>
      <c r="N191" s="41"/>
      <c r="T191" s="13"/>
    </row>
    <row r="192" spans="2:20" ht="14.4" x14ac:dyDescent="0.3">
      <c r="B192" s="29"/>
      <c r="C192" s="30"/>
      <c r="D192" s="30"/>
      <c r="E192" s="33"/>
      <c r="F192" s="36"/>
      <c r="G192" s="39"/>
      <c r="H192" s="43"/>
      <c r="I192" s="44"/>
      <c r="J192" s="44"/>
      <c r="K192" s="45"/>
      <c r="L192" s="45"/>
      <c r="M192" s="45"/>
      <c r="N192" s="44"/>
      <c r="T192" s="13"/>
    </row>
    <row r="193" spans="2:20" ht="14.4" x14ac:dyDescent="0.3">
      <c r="B193" s="31"/>
      <c r="C193" s="32"/>
      <c r="D193" s="32"/>
      <c r="E193" s="34"/>
      <c r="F193" s="37"/>
      <c r="G193" s="39"/>
      <c r="H193" s="40"/>
      <c r="I193" s="41"/>
      <c r="J193" s="41"/>
      <c r="K193" s="42"/>
      <c r="L193" s="42"/>
      <c r="M193" s="42"/>
      <c r="N193" s="41"/>
      <c r="T193" s="13"/>
    </row>
    <row r="194" spans="2:20" ht="14.4" x14ac:dyDescent="0.3">
      <c r="B194" s="29"/>
      <c r="C194" s="30"/>
      <c r="D194" s="30"/>
      <c r="E194" s="33"/>
      <c r="F194" s="36"/>
      <c r="G194" s="39"/>
      <c r="H194" s="43"/>
      <c r="I194" s="44"/>
      <c r="J194" s="44"/>
      <c r="K194" s="45"/>
      <c r="L194" s="45"/>
      <c r="M194" s="45"/>
      <c r="N194" s="44"/>
      <c r="T194" s="13"/>
    </row>
    <row r="195" spans="2:20" ht="14.4" x14ac:dyDescent="0.3">
      <c r="B195" s="31"/>
      <c r="C195" s="32"/>
      <c r="D195" s="32"/>
      <c r="E195" s="34"/>
      <c r="F195" s="37"/>
      <c r="G195" s="39"/>
      <c r="H195" s="40"/>
      <c r="I195" s="41"/>
      <c r="J195" s="41"/>
      <c r="K195" s="42"/>
      <c r="L195" s="42"/>
      <c r="M195" s="42"/>
      <c r="N195" s="41"/>
      <c r="T195" s="13"/>
    </row>
    <row r="196" spans="2:20" ht="14.4" x14ac:dyDescent="0.3">
      <c r="B196" s="29"/>
      <c r="C196" s="30"/>
      <c r="D196" s="30"/>
      <c r="E196" s="33"/>
      <c r="F196" s="36"/>
      <c r="G196" s="39"/>
      <c r="H196" s="43"/>
      <c r="I196" s="44"/>
      <c r="J196" s="44"/>
      <c r="K196" s="45"/>
      <c r="L196" s="45"/>
      <c r="M196" s="45"/>
      <c r="N196" s="44"/>
      <c r="T196" s="13"/>
    </row>
    <row r="197" spans="2:20" ht="14.4" x14ac:dyDescent="0.3">
      <c r="B197" s="31"/>
      <c r="C197" s="32"/>
      <c r="D197" s="32"/>
      <c r="E197" s="34"/>
      <c r="F197" s="37"/>
      <c r="G197" s="39"/>
      <c r="H197" s="40"/>
      <c r="I197" s="41"/>
      <c r="J197" s="41"/>
      <c r="K197" s="42"/>
      <c r="L197" s="42"/>
      <c r="M197" s="42"/>
      <c r="N197" s="41"/>
      <c r="T197" s="13"/>
    </row>
    <row r="198" spans="2:20" ht="14.4" x14ac:dyDescent="0.3">
      <c r="B198" s="29"/>
      <c r="C198" s="30"/>
      <c r="D198" s="30"/>
      <c r="E198" s="33"/>
      <c r="F198" s="36"/>
      <c r="G198" s="39"/>
      <c r="H198" s="43"/>
      <c r="I198" s="44"/>
      <c r="J198" s="44"/>
      <c r="K198" s="45"/>
      <c r="L198" s="45"/>
      <c r="M198" s="45"/>
      <c r="N198" s="44"/>
      <c r="T198" s="13"/>
    </row>
    <row r="199" spans="2:20" ht="14.4" x14ac:dyDescent="0.3">
      <c r="B199" s="31"/>
      <c r="C199" s="32"/>
      <c r="D199" s="32"/>
      <c r="E199" s="34"/>
      <c r="F199" s="37"/>
      <c r="G199" s="39"/>
      <c r="H199" s="40"/>
      <c r="I199" s="41"/>
      <c r="J199" s="41"/>
      <c r="K199" s="42"/>
      <c r="L199" s="42"/>
      <c r="M199" s="42"/>
      <c r="N199" s="41"/>
      <c r="T199" s="13"/>
    </row>
    <row r="200" spans="2:20" ht="14.4" x14ac:dyDescent="0.3">
      <c r="B200" s="29"/>
      <c r="C200" s="30"/>
      <c r="D200" s="30"/>
      <c r="E200" s="33"/>
      <c r="F200" s="36"/>
      <c r="G200" s="39"/>
      <c r="H200" s="43"/>
      <c r="I200" s="44"/>
      <c r="J200" s="44"/>
      <c r="K200" s="45"/>
      <c r="L200" s="45"/>
      <c r="M200" s="45"/>
      <c r="N200" s="44"/>
      <c r="T200" s="13"/>
    </row>
    <row r="201" spans="2:20" ht="14.4" x14ac:dyDescent="0.3">
      <c r="B201" s="31"/>
      <c r="C201" s="32"/>
      <c r="D201" s="32"/>
      <c r="E201" s="34"/>
      <c r="F201" s="37"/>
      <c r="G201" s="39"/>
      <c r="H201" s="40"/>
      <c r="I201" s="41"/>
      <c r="J201" s="41"/>
      <c r="K201" s="42"/>
      <c r="L201" s="42"/>
      <c r="M201" s="42"/>
      <c r="N201" s="41"/>
      <c r="T201" s="13"/>
    </row>
    <row r="202" spans="2:20" ht="14.4" x14ac:dyDescent="0.3">
      <c r="B202" s="29"/>
      <c r="C202" s="30"/>
      <c r="D202" s="30"/>
      <c r="E202" s="33"/>
      <c r="F202" s="36"/>
      <c r="G202" s="39"/>
      <c r="H202" s="43"/>
      <c r="I202" s="44"/>
      <c r="J202" s="44"/>
      <c r="K202" s="45"/>
      <c r="L202" s="45"/>
      <c r="M202" s="45"/>
      <c r="N202" s="44"/>
      <c r="T202" s="13"/>
    </row>
    <row r="203" spans="2:20" ht="14.4" x14ac:dyDescent="0.3">
      <c r="B203" s="31"/>
      <c r="C203" s="32"/>
      <c r="D203" s="32"/>
      <c r="E203" s="34"/>
      <c r="F203" s="37"/>
      <c r="G203" s="39"/>
      <c r="H203" s="40"/>
      <c r="I203" s="41"/>
      <c r="J203" s="41"/>
      <c r="K203" s="42"/>
      <c r="L203" s="42"/>
      <c r="M203" s="42"/>
      <c r="N203" s="41"/>
      <c r="T203" s="13"/>
    </row>
    <row r="204" spans="2:20" ht="14.4" x14ac:dyDescent="0.3">
      <c r="B204" s="29"/>
      <c r="C204" s="30"/>
      <c r="D204" s="30"/>
      <c r="E204" s="33"/>
      <c r="F204" s="36"/>
      <c r="G204" s="39"/>
      <c r="H204" s="43"/>
      <c r="I204" s="44"/>
      <c r="J204" s="44"/>
      <c r="K204" s="45"/>
      <c r="L204" s="45"/>
      <c r="M204" s="45"/>
      <c r="N204" s="44"/>
      <c r="T204" s="13"/>
    </row>
    <row r="205" spans="2:20" ht="14.4" x14ac:dyDescent="0.3">
      <c r="B205" s="31"/>
      <c r="C205" s="32"/>
      <c r="D205" s="32"/>
      <c r="E205" s="34"/>
      <c r="F205" s="37"/>
      <c r="G205" s="39"/>
      <c r="H205" s="40"/>
      <c r="I205" s="41"/>
      <c r="J205" s="41"/>
      <c r="K205" s="42"/>
      <c r="L205" s="42"/>
      <c r="M205" s="42"/>
      <c r="N205" s="41"/>
      <c r="T205" s="13"/>
    </row>
    <row r="206" spans="2:20" ht="14.4" x14ac:dyDescent="0.3">
      <c r="B206" s="29"/>
      <c r="C206" s="30"/>
      <c r="D206" s="30"/>
      <c r="E206" s="33"/>
      <c r="F206" s="36"/>
      <c r="G206" s="39"/>
      <c r="H206" s="43"/>
      <c r="I206" s="44"/>
      <c r="J206" s="44"/>
      <c r="K206" s="45"/>
      <c r="L206" s="45"/>
      <c r="M206" s="45"/>
      <c r="N206" s="44"/>
      <c r="T206" s="13"/>
    </row>
    <row r="207" spans="2:20" ht="14.4" x14ac:dyDescent="0.3">
      <c r="B207" s="31"/>
      <c r="C207" s="32"/>
      <c r="D207" s="32"/>
      <c r="E207" s="34"/>
      <c r="F207" s="37"/>
      <c r="G207" s="39"/>
      <c r="H207" s="40"/>
      <c r="I207" s="41"/>
      <c r="J207" s="41"/>
      <c r="K207" s="42"/>
      <c r="L207" s="42"/>
      <c r="M207" s="42"/>
      <c r="N207" s="41"/>
      <c r="T207" s="13"/>
    </row>
    <row r="208" spans="2:20" ht="14.4" x14ac:dyDescent="0.3">
      <c r="B208" s="29"/>
      <c r="C208" s="30"/>
      <c r="D208" s="30"/>
      <c r="E208" s="33"/>
      <c r="F208" s="36"/>
      <c r="G208" s="39"/>
      <c r="H208" s="43"/>
      <c r="I208" s="44"/>
      <c r="J208" s="44"/>
      <c r="K208" s="45"/>
      <c r="L208" s="45"/>
      <c r="M208" s="45"/>
      <c r="N208" s="44"/>
      <c r="T208" s="13"/>
    </row>
    <row r="209" spans="2:20" ht="14.4" x14ac:dyDescent="0.3">
      <c r="B209" s="31"/>
      <c r="C209" s="32"/>
      <c r="D209" s="32"/>
      <c r="E209" s="34"/>
      <c r="F209" s="37"/>
      <c r="G209" s="39"/>
      <c r="H209" s="40"/>
      <c r="I209" s="41"/>
      <c r="J209" s="41"/>
      <c r="K209" s="42"/>
      <c r="L209" s="42"/>
      <c r="M209" s="42"/>
      <c r="N209" s="41"/>
      <c r="T209" s="13"/>
    </row>
    <row r="210" spans="2:20" ht="14.4" x14ac:dyDescent="0.3">
      <c r="B210" s="29"/>
      <c r="C210" s="30"/>
      <c r="D210" s="30"/>
      <c r="E210" s="33"/>
      <c r="F210" s="36"/>
      <c r="G210" s="39"/>
      <c r="H210" s="43"/>
      <c r="I210" s="44"/>
      <c r="J210" s="44"/>
      <c r="K210" s="45"/>
      <c r="L210" s="45"/>
      <c r="M210" s="45"/>
      <c r="N210" s="44"/>
      <c r="T210" s="13"/>
    </row>
    <row r="211" spans="2:20" ht="14.4" x14ac:dyDescent="0.3">
      <c r="B211" s="31"/>
      <c r="C211" s="32"/>
      <c r="D211" s="32"/>
      <c r="E211" s="34"/>
      <c r="F211" s="37"/>
      <c r="G211" s="39"/>
      <c r="H211" s="40"/>
      <c r="I211" s="41"/>
      <c r="J211" s="41"/>
      <c r="K211" s="42"/>
      <c r="L211" s="42"/>
      <c r="M211" s="42"/>
      <c r="N211" s="41"/>
      <c r="T211" s="13"/>
    </row>
    <row r="212" spans="2:20" ht="14.4" x14ac:dyDescent="0.3">
      <c r="B212" s="29"/>
      <c r="C212" s="30"/>
      <c r="D212" s="30"/>
      <c r="E212" s="33"/>
      <c r="F212" s="36"/>
      <c r="G212" s="39"/>
      <c r="H212" s="43"/>
      <c r="I212" s="44"/>
      <c r="J212" s="44"/>
      <c r="K212" s="45"/>
      <c r="L212" s="45"/>
      <c r="M212" s="45"/>
      <c r="N212" s="44"/>
      <c r="T212" s="13"/>
    </row>
    <row r="213" spans="2:20" ht="14.4" x14ac:dyDescent="0.3">
      <c r="B213" s="31"/>
      <c r="C213" s="32"/>
      <c r="D213" s="32"/>
      <c r="E213" s="34"/>
      <c r="F213" s="37"/>
      <c r="G213" s="39"/>
      <c r="H213" s="40"/>
      <c r="I213" s="41"/>
      <c r="J213" s="41"/>
      <c r="K213" s="42"/>
      <c r="L213" s="42"/>
      <c r="M213" s="42"/>
      <c r="N213" s="41"/>
      <c r="T213" s="13"/>
    </row>
    <row r="214" spans="2:20" ht="14.4" x14ac:dyDescent="0.3">
      <c r="B214" s="29"/>
      <c r="C214" s="30"/>
      <c r="D214" s="30"/>
      <c r="E214" s="33"/>
      <c r="F214" s="36"/>
      <c r="G214" s="39"/>
      <c r="H214" s="43"/>
      <c r="I214" s="44"/>
      <c r="J214" s="44"/>
      <c r="K214" s="45"/>
      <c r="L214" s="45"/>
      <c r="M214" s="45"/>
      <c r="N214" s="44"/>
      <c r="T214" s="13"/>
    </row>
    <row r="215" spans="2:20" ht="14.4" x14ac:dyDescent="0.3">
      <c r="B215" s="31"/>
      <c r="C215" s="32"/>
      <c r="D215" s="32"/>
      <c r="E215" s="34"/>
      <c r="F215" s="37"/>
      <c r="G215" s="39"/>
      <c r="H215" s="40"/>
      <c r="I215" s="41"/>
      <c r="J215" s="41"/>
      <c r="K215" s="42"/>
      <c r="L215" s="42"/>
      <c r="M215" s="42"/>
      <c r="N215" s="41"/>
      <c r="T215" s="13"/>
    </row>
    <row r="216" spans="2:20" ht="14.4" x14ac:dyDescent="0.3">
      <c r="B216" s="29"/>
      <c r="C216" s="30"/>
      <c r="D216" s="30"/>
      <c r="E216" s="33"/>
      <c r="F216" s="36"/>
      <c r="G216" s="39"/>
      <c r="H216" s="43"/>
      <c r="I216" s="44"/>
      <c r="J216" s="44"/>
      <c r="K216" s="45"/>
      <c r="L216" s="45"/>
      <c r="M216" s="45"/>
      <c r="N216" s="44"/>
      <c r="T216" s="13"/>
    </row>
    <row r="217" spans="2:20" ht="14.4" x14ac:dyDescent="0.3">
      <c r="B217" s="31"/>
      <c r="C217" s="32"/>
      <c r="D217" s="32"/>
      <c r="E217" s="34"/>
      <c r="F217" s="37"/>
      <c r="G217" s="39"/>
      <c r="H217" s="40"/>
      <c r="I217" s="41"/>
      <c r="J217" s="41"/>
      <c r="K217" s="42"/>
      <c r="L217" s="42"/>
      <c r="M217" s="42"/>
      <c r="N217" s="41"/>
      <c r="T217" s="13"/>
    </row>
    <row r="218" spans="2:20" ht="14.4" x14ac:dyDescent="0.3">
      <c r="B218" s="29"/>
      <c r="C218" s="30"/>
      <c r="D218" s="30"/>
      <c r="E218" s="33"/>
      <c r="F218" s="36"/>
      <c r="G218" s="39"/>
      <c r="H218" s="43"/>
      <c r="I218" s="44"/>
      <c r="J218" s="44"/>
      <c r="K218" s="45"/>
      <c r="L218" s="45"/>
      <c r="M218" s="45"/>
      <c r="N218" s="44"/>
      <c r="T218" s="13"/>
    </row>
    <row r="219" spans="2:20" ht="14.4" x14ac:dyDescent="0.3">
      <c r="B219" s="31"/>
      <c r="C219" s="32"/>
      <c r="D219" s="32"/>
      <c r="E219" s="34"/>
      <c r="F219" s="37"/>
      <c r="G219" s="39"/>
      <c r="H219" s="40"/>
      <c r="I219" s="41"/>
      <c r="J219" s="41"/>
      <c r="K219" s="42"/>
      <c r="L219" s="42"/>
      <c r="M219" s="42"/>
      <c r="N219" s="41"/>
      <c r="T219" s="13"/>
    </row>
    <row r="220" spans="2:20" ht="14.4" x14ac:dyDescent="0.3">
      <c r="B220" s="29"/>
      <c r="C220" s="30"/>
      <c r="D220" s="30"/>
      <c r="E220" s="33"/>
      <c r="F220" s="36"/>
      <c r="G220" s="39"/>
      <c r="H220" s="43"/>
      <c r="I220" s="44"/>
      <c r="J220" s="44"/>
      <c r="K220" s="45"/>
      <c r="L220" s="45"/>
      <c r="M220" s="45"/>
      <c r="N220" s="44"/>
      <c r="T220" s="13"/>
    </row>
    <row r="221" spans="2:20" ht="14.4" x14ac:dyDescent="0.3">
      <c r="B221" s="31"/>
      <c r="C221" s="32"/>
      <c r="D221" s="32"/>
      <c r="E221" s="34"/>
      <c r="F221" s="37"/>
      <c r="G221" s="39"/>
      <c r="H221" s="40"/>
      <c r="I221" s="41"/>
      <c r="J221" s="41"/>
      <c r="K221" s="42"/>
      <c r="L221" s="42"/>
      <c r="M221" s="42"/>
      <c r="N221" s="41"/>
      <c r="T221" s="13"/>
    </row>
    <row r="222" spans="2:20" ht="14.4" x14ac:dyDescent="0.3">
      <c r="B222" s="29"/>
      <c r="C222" s="30"/>
      <c r="D222" s="30"/>
      <c r="E222" s="33"/>
      <c r="F222" s="36"/>
      <c r="G222" s="39"/>
      <c r="H222" s="43"/>
      <c r="I222" s="44"/>
      <c r="J222" s="44"/>
      <c r="K222" s="45"/>
      <c r="L222" s="45"/>
      <c r="M222" s="45"/>
      <c r="N222" s="44"/>
      <c r="T222" s="13"/>
    </row>
    <row r="223" spans="2:20" ht="14.4" x14ac:dyDescent="0.3">
      <c r="B223" s="31"/>
      <c r="C223" s="32"/>
      <c r="D223" s="32"/>
      <c r="E223" s="34"/>
      <c r="F223" s="37"/>
      <c r="G223" s="39"/>
      <c r="H223" s="40"/>
      <c r="I223" s="41"/>
      <c r="J223" s="41"/>
      <c r="K223" s="42"/>
      <c r="L223" s="42"/>
      <c r="M223" s="42"/>
      <c r="N223" s="41"/>
      <c r="T223" s="13"/>
    </row>
    <row r="224" spans="2:20" ht="14.4" x14ac:dyDescent="0.3">
      <c r="B224" s="29"/>
      <c r="C224" s="30"/>
      <c r="D224" s="30"/>
      <c r="E224" s="33"/>
      <c r="F224" s="36"/>
      <c r="G224" s="39"/>
      <c r="H224" s="43"/>
      <c r="I224" s="44"/>
      <c r="J224" s="44"/>
      <c r="K224" s="45"/>
      <c r="L224" s="45"/>
      <c r="M224" s="45"/>
      <c r="N224" s="44"/>
      <c r="T224" s="13"/>
    </row>
    <row r="225" spans="2:20" ht="14.4" x14ac:dyDescent="0.3">
      <c r="B225" s="31"/>
      <c r="C225" s="32"/>
      <c r="D225" s="32"/>
      <c r="E225" s="34"/>
      <c r="F225" s="37"/>
      <c r="G225" s="39"/>
      <c r="H225" s="40"/>
      <c r="I225" s="41"/>
      <c r="J225" s="41"/>
      <c r="K225" s="42"/>
      <c r="L225" s="42"/>
      <c r="M225" s="42"/>
      <c r="N225" s="41"/>
      <c r="T225" s="13"/>
    </row>
    <row r="226" spans="2:20" ht="14.4" x14ac:dyDescent="0.3">
      <c r="B226" s="29"/>
      <c r="C226" s="30"/>
      <c r="D226" s="30"/>
      <c r="E226" s="33"/>
      <c r="F226" s="36"/>
      <c r="G226" s="39"/>
      <c r="H226" s="43"/>
      <c r="I226" s="44"/>
      <c r="J226" s="44"/>
      <c r="K226" s="45"/>
      <c r="L226" s="45"/>
      <c r="M226" s="45"/>
      <c r="N226" s="44"/>
      <c r="T226" s="13"/>
    </row>
    <row r="227" spans="2:20" ht="14.4" x14ac:dyDescent="0.3">
      <c r="B227" s="31"/>
      <c r="C227" s="32"/>
      <c r="D227" s="32"/>
      <c r="E227" s="34"/>
      <c r="F227" s="37"/>
      <c r="G227" s="39"/>
      <c r="H227" s="40"/>
      <c r="I227" s="41"/>
      <c r="J227" s="41"/>
      <c r="K227" s="42"/>
      <c r="L227" s="42"/>
      <c r="M227" s="42"/>
      <c r="N227" s="41"/>
      <c r="T227" s="13"/>
    </row>
    <row r="228" spans="2:20" ht="14.4" x14ac:dyDescent="0.3">
      <c r="B228" s="29"/>
      <c r="C228" s="30"/>
      <c r="D228" s="30"/>
      <c r="E228" s="33"/>
      <c r="F228" s="36"/>
      <c r="G228" s="39"/>
      <c r="H228" s="43"/>
      <c r="I228" s="44"/>
      <c r="J228" s="44"/>
      <c r="K228" s="45"/>
      <c r="L228" s="45"/>
      <c r="M228" s="45"/>
      <c r="N228" s="44"/>
      <c r="T228" s="13"/>
    </row>
    <row r="229" spans="2:20" ht="14.4" x14ac:dyDescent="0.3">
      <c r="B229" s="31"/>
      <c r="C229" s="32"/>
      <c r="D229" s="32"/>
      <c r="E229" s="34"/>
      <c r="F229" s="37"/>
      <c r="G229" s="39"/>
      <c r="H229" s="40"/>
      <c r="I229" s="41"/>
      <c r="J229" s="41"/>
      <c r="K229" s="42"/>
      <c r="L229" s="42"/>
      <c r="M229" s="42"/>
      <c r="N229" s="41"/>
      <c r="T229" s="13"/>
    </row>
    <row r="230" spans="2:20" ht="14.4" x14ac:dyDescent="0.3">
      <c r="B230" s="29"/>
      <c r="C230" s="30"/>
      <c r="D230" s="30"/>
      <c r="E230" s="33"/>
      <c r="F230" s="36"/>
      <c r="G230" s="39"/>
      <c r="H230" s="43"/>
      <c r="I230" s="44"/>
      <c r="J230" s="44"/>
      <c r="K230" s="45"/>
      <c r="L230" s="45"/>
      <c r="M230" s="45"/>
      <c r="N230" s="44"/>
      <c r="T230" s="13"/>
    </row>
    <row r="231" spans="2:20" ht="14.4" x14ac:dyDescent="0.3">
      <c r="B231" s="31"/>
      <c r="C231" s="32"/>
      <c r="D231" s="32"/>
      <c r="E231" s="34"/>
      <c r="F231" s="37"/>
      <c r="G231" s="39"/>
      <c r="H231" s="40"/>
      <c r="I231" s="41"/>
      <c r="J231" s="41"/>
      <c r="K231" s="42"/>
      <c r="L231" s="42"/>
      <c r="M231" s="42"/>
      <c r="N231" s="41"/>
      <c r="T231" s="13"/>
    </row>
    <row r="232" spans="2:20" ht="14.4" x14ac:dyDescent="0.3">
      <c r="B232" s="29"/>
      <c r="C232" s="30"/>
      <c r="D232" s="30"/>
      <c r="E232" s="33"/>
      <c r="F232" s="36"/>
      <c r="G232" s="39"/>
      <c r="H232" s="43"/>
      <c r="I232" s="44"/>
      <c r="J232" s="44"/>
      <c r="K232" s="45"/>
      <c r="L232" s="45"/>
      <c r="M232" s="45"/>
      <c r="N232" s="44"/>
      <c r="T232" s="13"/>
    </row>
    <row r="233" spans="2:20" ht="14.4" x14ac:dyDescent="0.3">
      <c r="B233" s="31"/>
      <c r="C233" s="32"/>
      <c r="D233" s="32"/>
      <c r="E233" s="34"/>
      <c r="F233" s="37"/>
      <c r="G233" s="39"/>
      <c r="H233" s="40"/>
      <c r="I233" s="41"/>
      <c r="J233" s="41"/>
      <c r="K233" s="42"/>
      <c r="L233" s="42"/>
      <c r="M233" s="42"/>
      <c r="N233" s="41"/>
      <c r="T233" s="13"/>
    </row>
    <row r="234" spans="2:20" ht="14.4" x14ac:dyDescent="0.3">
      <c r="B234" s="29"/>
      <c r="C234" s="30"/>
      <c r="D234" s="30"/>
      <c r="E234" s="33"/>
      <c r="F234" s="36"/>
      <c r="G234" s="39"/>
      <c r="H234" s="43"/>
      <c r="I234" s="44"/>
      <c r="J234" s="44"/>
      <c r="K234" s="45"/>
      <c r="L234" s="45"/>
      <c r="M234" s="45"/>
      <c r="N234" s="44"/>
      <c r="T234" s="13"/>
    </row>
    <row r="235" spans="2:20" ht="14.4" x14ac:dyDescent="0.3">
      <c r="B235" s="31"/>
      <c r="C235" s="32"/>
      <c r="D235" s="32"/>
      <c r="E235" s="34"/>
      <c r="F235" s="37"/>
      <c r="G235" s="39"/>
      <c r="H235" s="40"/>
      <c r="I235" s="41"/>
      <c r="J235" s="41"/>
      <c r="K235" s="42"/>
      <c r="L235" s="42"/>
      <c r="M235" s="42"/>
      <c r="N235" s="41"/>
      <c r="T235" s="13"/>
    </row>
    <row r="236" spans="2:20" ht="14.4" x14ac:dyDescent="0.3">
      <c r="B236" s="29"/>
      <c r="C236" s="30"/>
      <c r="D236" s="30"/>
      <c r="E236" s="33"/>
      <c r="F236" s="36"/>
      <c r="G236" s="39"/>
      <c r="H236" s="43"/>
      <c r="I236" s="44"/>
      <c r="J236" s="44"/>
      <c r="K236" s="45"/>
      <c r="L236" s="45"/>
      <c r="M236" s="45"/>
      <c r="N236" s="44"/>
      <c r="T236" s="13"/>
    </row>
    <row r="237" spans="2:20" ht="14.4" x14ac:dyDescent="0.3">
      <c r="B237" s="31"/>
      <c r="C237" s="32"/>
      <c r="D237" s="32"/>
      <c r="E237" s="34"/>
      <c r="F237" s="37"/>
      <c r="G237" s="39"/>
      <c r="H237" s="40"/>
      <c r="I237" s="41"/>
      <c r="J237" s="41"/>
      <c r="K237" s="42"/>
      <c r="L237" s="42"/>
      <c r="M237" s="42"/>
      <c r="N237" s="41"/>
      <c r="T237" s="13"/>
    </row>
    <row r="238" spans="2:20" ht="14.4" x14ac:dyDescent="0.3">
      <c r="B238" s="29"/>
      <c r="C238" s="30"/>
      <c r="D238" s="30"/>
      <c r="E238" s="33"/>
      <c r="F238" s="36"/>
      <c r="G238" s="39"/>
      <c r="H238" s="43"/>
      <c r="I238" s="44"/>
      <c r="J238" s="44"/>
      <c r="K238" s="45"/>
      <c r="L238" s="45"/>
      <c r="M238" s="45"/>
      <c r="N238" s="44"/>
      <c r="T238" s="13"/>
    </row>
    <row r="239" spans="2:20" ht="14.4" x14ac:dyDescent="0.3">
      <c r="B239" s="31"/>
      <c r="C239" s="32"/>
      <c r="D239" s="32"/>
      <c r="E239" s="34"/>
      <c r="F239" s="37"/>
      <c r="G239" s="39"/>
      <c r="H239" s="40"/>
      <c r="I239" s="41"/>
      <c r="J239" s="41"/>
      <c r="K239" s="42"/>
      <c r="L239" s="42"/>
      <c r="M239" s="42"/>
      <c r="N239" s="41"/>
      <c r="T239" s="13"/>
    </row>
    <row r="240" spans="2:20" ht="14.4" x14ac:dyDescent="0.3">
      <c r="B240" s="29"/>
      <c r="C240" s="30"/>
      <c r="D240" s="30"/>
      <c r="E240" s="33"/>
      <c r="F240" s="36"/>
      <c r="G240" s="39"/>
      <c r="H240" s="43"/>
      <c r="I240" s="44"/>
      <c r="J240" s="44"/>
      <c r="K240" s="45"/>
      <c r="L240" s="45"/>
      <c r="M240" s="45"/>
      <c r="N240" s="44"/>
      <c r="T240" s="13"/>
    </row>
    <row r="241" spans="2:20" ht="14.4" x14ac:dyDescent="0.3">
      <c r="B241" s="31"/>
      <c r="C241" s="32"/>
      <c r="D241" s="32"/>
      <c r="E241" s="34"/>
      <c r="F241" s="37"/>
      <c r="G241" s="39"/>
      <c r="H241" s="40"/>
      <c r="I241" s="41"/>
      <c r="J241" s="41"/>
      <c r="K241" s="42"/>
      <c r="L241" s="42"/>
      <c r="M241" s="42"/>
      <c r="N241" s="41"/>
      <c r="T241" s="13"/>
    </row>
    <row r="242" spans="2:20" ht="14.4" x14ac:dyDescent="0.3">
      <c r="B242" s="29"/>
      <c r="C242" s="30"/>
      <c r="D242" s="30"/>
      <c r="E242" s="33"/>
      <c r="F242" s="36"/>
      <c r="G242" s="39"/>
      <c r="H242" s="43"/>
      <c r="I242" s="44"/>
      <c r="J242" s="44"/>
      <c r="K242" s="45"/>
      <c r="L242" s="45"/>
      <c r="M242" s="45"/>
      <c r="N242" s="44"/>
      <c r="T242" s="13"/>
    </row>
    <row r="243" spans="2:20" ht="14.4" x14ac:dyDescent="0.3">
      <c r="B243" s="31"/>
      <c r="C243" s="32"/>
      <c r="D243" s="32"/>
      <c r="E243" s="34"/>
      <c r="F243" s="37"/>
      <c r="G243" s="39"/>
      <c r="H243" s="40"/>
      <c r="I243" s="41"/>
      <c r="J243" s="41"/>
      <c r="K243" s="42"/>
      <c r="L243" s="42"/>
      <c r="M243" s="42"/>
      <c r="N243" s="41"/>
      <c r="T243" s="13"/>
    </row>
    <row r="244" spans="2:20" ht="14.4" x14ac:dyDescent="0.3">
      <c r="B244" s="29"/>
      <c r="C244" s="30"/>
      <c r="D244" s="30"/>
      <c r="E244" s="33"/>
      <c r="F244" s="36"/>
      <c r="G244" s="39"/>
      <c r="H244" s="43"/>
      <c r="I244" s="44"/>
      <c r="J244" s="44"/>
      <c r="K244" s="45"/>
      <c r="L244" s="45"/>
      <c r="M244" s="45"/>
      <c r="N244" s="44"/>
      <c r="T244" s="13"/>
    </row>
    <row r="245" spans="2:20" ht="14.4" x14ac:dyDescent="0.3">
      <c r="B245" s="31"/>
      <c r="C245" s="32"/>
      <c r="D245" s="32"/>
      <c r="E245" s="34"/>
      <c r="F245" s="37"/>
      <c r="G245" s="39"/>
      <c r="H245" s="40"/>
      <c r="I245" s="41"/>
      <c r="J245" s="41"/>
      <c r="K245" s="42"/>
      <c r="L245" s="42"/>
      <c r="M245" s="42"/>
      <c r="N245" s="41"/>
      <c r="T245" s="13"/>
    </row>
    <row r="246" spans="2:20" ht="14.4" x14ac:dyDescent="0.3">
      <c r="B246" s="29"/>
      <c r="C246" s="30"/>
      <c r="D246" s="30"/>
      <c r="E246" s="33"/>
      <c r="F246" s="36"/>
      <c r="G246" s="39"/>
      <c r="H246" s="43"/>
      <c r="I246" s="44"/>
      <c r="J246" s="44"/>
      <c r="K246" s="45"/>
      <c r="L246" s="45"/>
      <c r="M246" s="45"/>
      <c r="N246" s="44"/>
      <c r="T246" s="13"/>
    </row>
    <row r="247" spans="2:20" ht="14.4" x14ac:dyDescent="0.3">
      <c r="B247" s="31"/>
      <c r="C247" s="32"/>
      <c r="D247" s="32"/>
      <c r="E247" s="34"/>
      <c r="F247" s="37"/>
      <c r="G247" s="39"/>
      <c r="H247" s="40"/>
      <c r="I247" s="41"/>
      <c r="J247" s="41"/>
      <c r="K247" s="42"/>
      <c r="L247" s="42"/>
      <c r="M247" s="42"/>
      <c r="N247" s="41"/>
      <c r="T247" s="13"/>
    </row>
    <row r="248" spans="2:20" ht="14.4" x14ac:dyDescent="0.3">
      <c r="B248" s="29"/>
      <c r="C248" s="30"/>
      <c r="D248" s="30"/>
      <c r="E248" s="33"/>
      <c r="F248" s="36"/>
      <c r="G248" s="39"/>
      <c r="H248" s="43"/>
      <c r="I248" s="44"/>
      <c r="J248" s="44"/>
      <c r="K248" s="45"/>
      <c r="L248" s="45"/>
      <c r="M248" s="45"/>
      <c r="N248" s="44"/>
      <c r="T248" s="13"/>
    </row>
    <row r="249" spans="2:20" ht="14.4" x14ac:dyDescent="0.3">
      <c r="B249" s="31"/>
      <c r="C249" s="32"/>
      <c r="D249" s="32"/>
      <c r="E249" s="34"/>
      <c r="F249" s="37"/>
      <c r="G249" s="39"/>
      <c r="H249" s="40"/>
      <c r="I249" s="41"/>
      <c r="J249" s="41"/>
      <c r="K249" s="42"/>
      <c r="L249" s="42"/>
      <c r="M249" s="42"/>
      <c r="N249" s="41"/>
      <c r="T249" s="13"/>
    </row>
    <row r="250" spans="2:20" ht="14.4" x14ac:dyDescent="0.3">
      <c r="B250" s="29"/>
      <c r="C250" s="30"/>
      <c r="D250" s="30"/>
      <c r="E250" s="33"/>
      <c r="F250" s="36"/>
      <c r="G250" s="39"/>
      <c r="H250" s="43"/>
      <c r="I250" s="44"/>
      <c r="J250" s="44"/>
      <c r="K250" s="45"/>
      <c r="L250" s="45"/>
      <c r="M250" s="45"/>
      <c r="N250" s="44"/>
      <c r="T250" s="13"/>
    </row>
    <row r="251" spans="2:20" ht="14.4" x14ac:dyDescent="0.3">
      <c r="B251" s="31"/>
      <c r="C251" s="32"/>
      <c r="D251" s="32"/>
      <c r="E251" s="34"/>
      <c r="F251" s="37"/>
      <c r="G251" s="39"/>
      <c r="H251" s="40"/>
      <c r="I251" s="41"/>
      <c r="J251" s="41"/>
      <c r="K251" s="42"/>
      <c r="L251" s="42"/>
      <c r="M251" s="42"/>
      <c r="N251" s="41"/>
      <c r="T251" s="13"/>
    </row>
    <row r="252" spans="2:20" ht="14.4" x14ac:dyDescent="0.3">
      <c r="B252" s="29"/>
      <c r="C252" s="30"/>
      <c r="D252" s="30"/>
      <c r="E252" s="33"/>
      <c r="F252" s="36"/>
      <c r="G252" s="39"/>
      <c r="H252" s="43"/>
      <c r="I252" s="44"/>
      <c r="J252" s="44"/>
      <c r="K252" s="45"/>
      <c r="L252" s="45"/>
      <c r="M252" s="45"/>
      <c r="N252" s="44"/>
      <c r="T252" s="13"/>
    </row>
    <row r="253" spans="2:20" ht="14.4" x14ac:dyDescent="0.3">
      <c r="B253" s="31"/>
      <c r="C253" s="32"/>
      <c r="D253" s="32"/>
      <c r="E253" s="34"/>
      <c r="F253" s="37"/>
      <c r="G253" s="39"/>
      <c r="H253" s="40"/>
      <c r="I253" s="41"/>
      <c r="J253" s="41"/>
      <c r="K253" s="42"/>
      <c r="L253" s="42"/>
      <c r="M253" s="42"/>
      <c r="N253" s="41"/>
      <c r="T253" s="13"/>
    </row>
    <row r="254" spans="2:20" ht="14.4" x14ac:dyDescent="0.3">
      <c r="B254" s="29"/>
      <c r="C254" s="30"/>
      <c r="D254" s="30"/>
      <c r="E254" s="33"/>
      <c r="F254" s="36"/>
      <c r="G254" s="39"/>
      <c r="H254" s="43"/>
      <c r="I254" s="44"/>
      <c r="J254" s="44"/>
      <c r="K254" s="45"/>
      <c r="L254" s="45"/>
      <c r="M254" s="45"/>
      <c r="N254" s="44"/>
      <c r="T254" s="13"/>
    </row>
    <row r="255" spans="2:20" ht="14.4" x14ac:dyDescent="0.3">
      <c r="B255" s="31"/>
      <c r="C255" s="32"/>
      <c r="D255" s="32"/>
      <c r="E255" s="34"/>
      <c r="F255" s="37"/>
      <c r="G255" s="39"/>
      <c r="H255" s="40"/>
      <c r="I255" s="41"/>
      <c r="J255" s="41"/>
      <c r="K255" s="42"/>
      <c r="L255" s="42"/>
      <c r="M255" s="42"/>
      <c r="N255" s="41"/>
      <c r="T255" s="13"/>
    </row>
    <row r="256" spans="2:20" ht="14.4" x14ac:dyDescent="0.3">
      <c r="B256" s="29"/>
      <c r="C256" s="30"/>
      <c r="D256" s="30"/>
      <c r="E256" s="33"/>
      <c r="F256" s="36"/>
      <c r="G256" s="39"/>
      <c r="H256" s="43"/>
      <c r="I256" s="44"/>
      <c r="J256" s="44"/>
      <c r="K256" s="45"/>
      <c r="L256" s="45"/>
      <c r="M256" s="45"/>
      <c r="N256" s="44"/>
      <c r="T256" s="13"/>
    </row>
    <row r="257" spans="2:20" ht="14.4" x14ac:dyDescent="0.3">
      <c r="B257" s="31"/>
      <c r="C257" s="32"/>
      <c r="D257" s="32"/>
      <c r="E257" s="34"/>
      <c r="F257" s="37"/>
      <c r="G257" s="39"/>
      <c r="H257" s="40"/>
      <c r="I257" s="41"/>
      <c r="J257" s="41"/>
      <c r="K257" s="42"/>
      <c r="L257" s="42"/>
      <c r="M257" s="42"/>
      <c r="N257" s="41"/>
      <c r="T257" s="13"/>
    </row>
    <row r="258" spans="2:20" ht="14.4" x14ac:dyDescent="0.3">
      <c r="B258" s="29"/>
      <c r="C258" s="30"/>
      <c r="D258" s="30"/>
      <c r="E258" s="33"/>
      <c r="F258" s="36"/>
      <c r="G258" s="39"/>
      <c r="H258" s="43"/>
      <c r="I258" s="44"/>
      <c r="J258" s="44"/>
      <c r="K258" s="45"/>
      <c r="L258" s="45"/>
      <c r="M258" s="45"/>
      <c r="N258" s="44"/>
      <c r="T258" s="13"/>
    </row>
    <row r="259" spans="2:20" ht="14.4" x14ac:dyDescent="0.3">
      <c r="B259" s="31"/>
      <c r="C259" s="32"/>
      <c r="D259" s="32"/>
      <c r="E259" s="34"/>
      <c r="F259" s="37"/>
      <c r="G259" s="39"/>
      <c r="H259" s="40"/>
      <c r="I259" s="41"/>
      <c r="J259" s="41"/>
      <c r="K259" s="42"/>
      <c r="L259" s="42"/>
      <c r="M259" s="42"/>
      <c r="N259" s="41"/>
      <c r="T259" s="13"/>
    </row>
    <row r="260" spans="2:20" ht="14.4" x14ac:dyDescent="0.3">
      <c r="B260" s="29"/>
      <c r="C260" s="30"/>
      <c r="D260" s="30"/>
      <c r="E260" s="33"/>
      <c r="F260" s="36"/>
      <c r="G260" s="39"/>
      <c r="H260" s="43"/>
      <c r="I260" s="44"/>
      <c r="J260" s="44"/>
      <c r="K260" s="45"/>
      <c r="L260" s="45"/>
      <c r="M260" s="45"/>
      <c r="N260" s="44"/>
      <c r="T260" s="13"/>
    </row>
    <row r="261" spans="2:20" ht="14.4" x14ac:dyDescent="0.3">
      <c r="B261" s="31"/>
      <c r="C261" s="32"/>
      <c r="D261" s="32"/>
      <c r="E261" s="34"/>
      <c r="F261" s="37"/>
      <c r="G261" s="39"/>
      <c r="H261" s="40"/>
      <c r="I261" s="41"/>
      <c r="J261" s="41"/>
      <c r="K261" s="42"/>
      <c r="L261" s="42"/>
      <c r="M261" s="42"/>
      <c r="N261" s="41"/>
      <c r="T261" s="13"/>
    </row>
    <row r="262" spans="2:20" ht="14.4" x14ac:dyDescent="0.3">
      <c r="B262" s="29"/>
      <c r="C262" s="30"/>
      <c r="D262" s="30"/>
      <c r="E262" s="33"/>
      <c r="F262" s="36"/>
      <c r="G262" s="39"/>
      <c r="H262" s="43"/>
      <c r="I262" s="44"/>
      <c r="J262" s="44"/>
      <c r="K262" s="45"/>
      <c r="L262" s="45"/>
      <c r="M262" s="45"/>
      <c r="N262" s="44"/>
      <c r="T262" s="13"/>
    </row>
    <row r="263" spans="2:20" ht="14.4" x14ac:dyDescent="0.3">
      <c r="B263" s="31"/>
      <c r="C263" s="32"/>
      <c r="D263" s="32"/>
      <c r="E263" s="34"/>
      <c r="F263" s="37"/>
      <c r="G263" s="39"/>
      <c r="H263" s="40"/>
      <c r="I263" s="41"/>
      <c r="J263" s="41"/>
      <c r="K263" s="42"/>
      <c r="L263" s="42"/>
      <c r="M263" s="42"/>
      <c r="N263" s="41"/>
      <c r="T263" s="13"/>
    </row>
    <row r="264" spans="2:20" ht="14.4" x14ac:dyDescent="0.3">
      <c r="B264" s="29"/>
      <c r="C264" s="30"/>
      <c r="D264" s="30"/>
      <c r="E264" s="33"/>
      <c r="F264" s="36"/>
      <c r="G264" s="39"/>
      <c r="H264" s="43"/>
      <c r="I264" s="44"/>
      <c r="J264" s="44"/>
      <c r="K264" s="45"/>
      <c r="L264" s="45"/>
      <c r="M264" s="45"/>
      <c r="N264" s="44"/>
      <c r="T264" s="13"/>
    </row>
    <row r="265" spans="2:20" ht="14.4" x14ac:dyDescent="0.3">
      <c r="B265" s="31"/>
      <c r="C265" s="32"/>
      <c r="D265" s="32"/>
      <c r="E265" s="34"/>
      <c r="F265" s="37"/>
      <c r="G265" s="39"/>
      <c r="H265" s="40"/>
      <c r="I265" s="41"/>
      <c r="J265" s="41"/>
      <c r="K265" s="42"/>
      <c r="L265" s="42"/>
      <c r="M265" s="42"/>
      <c r="N265" s="41"/>
      <c r="T265" s="13"/>
    </row>
    <row r="266" spans="2:20" ht="14.4" x14ac:dyDescent="0.3">
      <c r="B266" s="29"/>
      <c r="C266" s="30"/>
      <c r="D266" s="30"/>
      <c r="E266" s="33"/>
      <c r="F266" s="36"/>
      <c r="G266" s="39"/>
      <c r="H266" s="43"/>
      <c r="I266" s="44"/>
      <c r="J266" s="44"/>
      <c r="K266" s="45"/>
      <c r="L266" s="45"/>
      <c r="M266" s="45"/>
      <c r="N266" s="44"/>
      <c r="T266" s="13"/>
    </row>
    <row r="267" spans="2:20" ht="14.4" x14ac:dyDescent="0.3">
      <c r="B267" s="31"/>
      <c r="C267" s="32"/>
      <c r="D267" s="32"/>
      <c r="E267" s="34"/>
      <c r="F267" s="37"/>
      <c r="G267" s="39"/>
      <c r="H267" s="40"/>
      <c r="I267" s="41"/>
      <c r="J267" s="41"/>
      <c r="K267" s="42"/>
      <c r="L267" s="42"/>
      <c r="M267" s="42"/>
      <c r="N267" s="41"/>
      <c r="T267" s="13"/>
    </row>
    <row r="268" spans="2:20" ht="14.4" x14ac:dyDescent="0.3">
      <c r="B268" s="29"/>
      <c r="C268" s="30"/>
      <c r="D268" s="30"/>
      <c r="E268" s="33"/>
      <c r="F268" s="36"/>
      <c r="G268" s="39"/>
      <c r="H268" s="43"/>
      <c r="I268" s="44"/>
      <c r="J268" s="44"/>
      <c r="K268" s="45"/>
      <c r="L268" s="45"/>
      <c r="M268" s="45"/>
      <c r="N268" s="44"/>
      <c r="T268" s="13"/>
    </row>
    <row r="269" spans="2:20" ht="14.4" x14ac:dyDescent="0.3">
      <c r="B269" s="31"/>
      <c r="C269" s="32"/>
      <c r="D269" s="32"/>
      <c r="E269" s="34"/>
      <c r="F269" s="37"/>
      <c r="G269" s="39"/>
      <c r="H269" s="40"/>
      <c r="I269" s="41"/>
      <c r="J269" s="41"/>
      <c r="K269" s="42"/>
      <c r="L269" s="42"/>
      <c r="M269" s="42"/>
      <c r="N269" s="41"/>
      <c r="T269" s="13"/>
    </row>
    <row r="270" spans="2:20" ht="14.4" x14ac:dyDescent="0.3">
      <c r="B270" s="29"/>
      <c r="C270" s="30"/>
      <c r="D270" s="30"/>
      <c r="E270" s="33"/>
      <c r="F270" s="36"/>
      <c r="G270" s="39"/>
      <c r="H270" s="43"/>
      <c r="I270" s="44"/>
      <c r="J270" s="44"/>
      <c r="K270" s="45"/>
      <c r="L270" s="45"/>
      <c r="M270" s="45"/>
      <c r="N270" s="44"/>
      <c r="T270" s="13"/>
    </row>
    <row r="271" spans="2:20" ht="14.4" x14ac:dyDescent="0.3">
      <c r="B271" s="31"/>
      <c r="C271" s="32"/>
      <c r="D271" s="32"/>
      <c r="E271" s="34"/>
      <c r="F271" s="37"/>
      <c r="G271" s="39"/>
      <c r="H271" s="40"/>
      <c r="I271" s="41"/>
      <c r="J271" s="41"/>
      <c r="K271" s="42"/>
      <c r="L271" s="42"/>
      <c r="M271" s="42"/>
      <c r="N271" s="41"/>
      <c r="T271" s="13"/>
    </row>
    <row r="272" spans="2:20" ht="14.4" x14ac:dyDescent="0.3">
      <c r="B272" s="29"/>
      <c r="C272" s="30"/>
      <c r="D272" s="30"/>
      <c r="E272" s="33"/>
      <c r="F272" s="36"/>
      <c r="G272" s="39"/>
      <c r="H272" s="43"/>
      <c r="I272" s="44"/>
      <c r="J272" s="44"/>
      <c r="K272" s="45"/>
      <c r="L272" s="45"/>
      <c r="M272" s="45"/>
      <c r="N272" s="44"/>
      <c r="T272" s="13"/>
    </row>
    <row r="273" spans="2:20" ht="14.4" x14ac:dyDescent="0.3">
      <c r="B273" s="31"/>
      <c r="C273" s="32"/>
      <c r="D273" s="32"/>
      <c r="E273" s="34"/>
      <c r="F273" s="37"/>
      <c r="G273" s="39"/>
      <c r="H273" s="40"/>
      <c r="I273" s="41"/>
      <c r="J273" s="41"/>
      <c r="K273" s="42"/>
      <c r="L273" s="42"/>
      <c r="M273" s="42"/>
      <c r="N273" s="41"/>
      <c r="T273" s="13"/>
    </row>
    <row r="274" spans="2:20" ht="14.4" x14ac:dyDescent="0.3">
      <c r="B274" s="29"/>
      <c r="C274" s="30"/>
      <c r="D274" s="30"/>
      <c r="E274" s="33"/>
      <c r="F274" s="36"/>
      <c r="G274" s="39"/>
      <c r="H274" s="43"/>
      <c r="I274" s="44"/>
      <c r="J274" s="44"/>
      <c r="K274" s="45"/>
      <c r="L274" s="45"/>
      <c r="M274" s="45"/>
      <c r="N274" s="44"/>
      <c r="T274" s="13"/>
    </row>
    <row r="275" spans="2:20" ht="14.4" x14ac:dyDescent="0.3">
      <c r="B275" s="31"/>
      <c r="C275" s="32"/>
      <c r="D275" s="32"/>
      <c r="E275" s="34"/>
      <c r="F275" s="37"/>
      <c r="G275" s="39"/>
      <c r="H275" s="40"/>
      <c r="I275" s="41"/>
      <c r="J275" s="41"/>
      <c r="K275" s="42"/>
      <c r="L275" s="42"/>
      <c r="M275" s="42"/>
      <c r="N275" s="41"/>
      <c r="T275" s="13"/>
    </row>
    <row r="276" spans="2:20" ht="14.4" x14ac:dyDescent="0.3">
      <c r="B276" s="29"/>
      <c r="C276" s="30"/>
      <c r="D276" s="30"/>
      <c r="E276" s="33"/>
      <c r="F276" s="36"/>
      <c r="G276" s="39"/>
      <c r="H276" s="43"/>
      <c r="I276" s="44"/>
      <c r="J276" s="44"/>
      <c r="K276" s="45"/>
      <c r="L276" s="45"/>
      <c r="M276" s="45"/>
      <c r="N276" s="44"/>
      <c r="T276" s="13"/>
    </row>
    <row r="277" spans="2:20" ht="14.4" x14ac:dyDescent="0.3">
      <c r="B277" s="31"/>
      <c r="C277" s="32"/>
      <c r="D277" s="32"/>
      <c r="E277" s="34"/>
      <c r="F277" s="37"/>
      <c r="G277" s="39"/>
      <c r="H277" s="40"/>
      <c r="I277" s="41"/>
      <c r="J277" s="41"/>
      <c r="K277" s="42"/>
      <c r="L277" s="42"/>
      <c r="M277" s="42"/>
      <c r="N277" s="41"/>
      <c r="T277" s="13"/>
    </row>
    <row r="278" spans="2:20" ht="14.4" x14ac:dyDescent="0.3">
      <c r="B278" s="29"/>
      <c r="C278" s="30"/>
      <c r="D278" s="30"/>
      <c r="E278" s="33"/>
      <c r="F278" s="36"/>
      <c r="G278" s="39"/>
      <c r="H278" s="43"/>
      <c r="I278" s="44"/>
      <c r="J278" s="44"/>
      <c r="K278" s="45"/>
      <c r="L278" s="45"/>
      <c r="M278" s="45"/>
      <c r="N278" s="44"/>
      <c r="T278" s="13"/>
    </row>
    <row r="279" spans="2:20" ht="14.4" x14ac:dyDescent="0.3">
      <c r="B279" s="31"/>
      <c r="C279" s="32"/>
      <c r="D279" s="32"/>
      <c r="E279" s="34"/>
      <c r="F279" s="37"/>
      <c r="G279" s="39"/>
      <c r="H279" s="40"/>
      <c r="I279" s="41"/>
      <c r="J279" s="41"/>
      <c r="K279" s="42"/>
      <c r="L279" s="42"/>
      <c r="M279" s="42"/>
      <c r="N279" s="41"/>
      <c r="T279" s="13"/>
    </row>
    <row r="280" spans="2:20" ht="14.4" x14ac:dyDescent="0.3">
      <c r="B280" s="29"/>
      <c r="C280" s="30"/>
      <c r="D280" s="30"/>
      <c r="E280" s="33"/>
      <c r="F280" s="36"/>
      <c r="G280" s="39"/>
      <c r="H280" s="43"/>
      <c r="I280" s="44"/>
      <c r="J280" s="44"/>
      <c r="K280" s="45"/>
      <c r="L280" s="45"/>
      <c r="M280" s="45"/>
      <c r="N280" s="44"/>
      <c r="T280" s="13"/>
    </row>
    <row r="281" spans="2:20" ht="14.4" x14ac:dyDescent="0.3">
      <c r="B281" s="31"/>
      <c r="C281" s="32"/>
      <c r="D281" s="32"/>
      <c r="E281" s="34"/>
      <c r="F281" s="37"/>
      <c r="G281" s="39"/>
      <c r="H281" s="40"/>
      <c r="I281" s="41"/>
      <c r="J281" s="41"/>
      <c r="K281" s="42"/>
      <c r="L281" s="42"/>
      <c r="M281" s="42"/>
      <c r="N281" s="41"/>
      <c r="T281" s="13"/>
    </row>
    <row r="282" spans="2:20" ht="14.4" x14ac:dyDescent="0.3">
      <c r="B282" s="29"/>
      <c r="C282" s="30"/>
      <c r="D282" s="30"/>
      <c r="E282" s="33"/>
      <c r="F282" s="36"/>
      <c r="G282" s="39"/>
      <c r="H282" s="43"/>
      <c r="I282" s="44"/>
      <c r="J282" s="44"/>
      <c r="K282" s="45"/>
      <c r="L282" s="45"/>
      <c r="M282" s="45"/>
      <c r="N282" s="44"/>
      <c r="T282" s="13"/>
    </row>
    <row r="283" spans="2:20" ht="14.4" x14ac:dyDescent="0.3">
      <c r="B283" s="31"/>
      <c r="C283" s="32"/>
      <c r="D283" s="32"/>
      <c r="E283" s="34"/>
      <c r="F283" s="37"/>
      <c r="G283" s="39"/>
      <c r="H283" s="40"/>
      <c r="I283" s="41"/>
      <c r="J283" s="41"/>
      <c r="K283" s="42"/>
      <c r="L283" s="42"/>
      <c r="M283" s="42"/>
      <c r="N283" s="41"/>
      <c r="T283" s="13"/>
    </row>
    <row r="284" spans="2:20" ht="14.4" x14ac:dyDescent="0.3">
      <c r="B284" s="29"/>
      <c r="C284" s="30"/>
      <c r="D284" s="30"/>
      <c r="E284" s="33"/>
      <c r="F284" s="36"/>
      <c r="G284" s="39"/>
      <c r="H284" s="43"/>
      <c r="I284" s="44"/>
      <c r="J284" s="44"/>
      <c r="K284" s="45"/>
      <c r="L284" s="45"/>
      <c r="M284" s="45"/>
      <c r="N284" s="44"/>
      <c r="T284" s="13"/>
    </row>
    <row r="285" spans="2:20" ht="14.4" x14ac:dyDescent="0.3">
      <c r="B285" s="31"/>
      <c r="C285" s="32"/>
      <c r="D285" s="32"/>
      <c r="E285" s="34"/>
      <c r="F285" s="37"/>
      <c r="G285" s="39"/>
      <c r="H285" s="40"/>
      <c r="I285" s="41"/>
      <c r="J285" s="41"/>
      <c r="K285" s="42"/>
      <c r="L285" s="42"/>
      <c r="M285" s="42"/>
      <c r="N285" s="41"/>
      <c r="T285" s="13"/>
    </row>
    <row r="286" spans="2:20" ht="14.4" x14ac:dyDescent="0.3">
      <c r="B286" s="29"/>
      <c r="C286" s="30"/>
      <c r="D286" s="30"/>
      <c r="E286" s="33"/>
      <c r="F286" s="36"/>
      <c r="G286" s="39"/>
      <c r="H286" s="43"/>
      <c r="I286" s="44"/>
      <c r="J286" s="44"/>
      <c r="K286" s="45"/>
      <c r="L286" s="45"/>
      <c r="M286" s="45"/>
      <c r="N286" s="44"/>
      <c r="T286" s="13"/>
    </row>
    <row r="287" spans="2:20" ht="14.4" x14ac:dyDescent="0.3">
      <c r="B287" s="31"/>
      <c r="C287" s="32"/>
      <c r="D287" s="32"/>
      <c r="E287" s="34"/>
      <c r="F287" s="37"/>
      <c r="G287" s="39"/>
      <c r="H287" s="40"/>
      <c r="I287" s="41"/>
      <c r="J287" s="41"/>
      <c r="K287" s="42"/>
      <c r="L287" s="42"/>
      <c r="M287" s="42"/>
      <c r="N287" s="41"/>
      <c r="T287" s="13"/>
    </row>
    <row r="288" spans="2:20" ht="14.4" x14ac:dyDescent="0.3">
      <c r="B288" s="29"/>
      <c r="C288" s="30"/>
      <c r="D288" s="30"/>
      <c r="E288" s="33"/>
      <c r="F288" s="36"/>
      <c r="G288" s="39"/>
      <c r="H288" s="43"/>
      <c r="I288" s="44"/>
      <c r="J288" s="44"/>
      <c r="K288" s="45"/>
      <c r="L288" s="45"/>
      <c r="M288" s="45"/>
      <c r="N288" s="44"/>
      <c r="T288" s="13"/>
    </row>
    <row r="289" spans="2:20" ht="14.4" x14ac:dyDescent="0.3">
      <c r="B289" s="31"/>
      <c r="C289" s="32"/>
      <c r="D289" s="32"/>
      <c r="E289" s="34"/>
      <c r="F289" s="37"/>
      <c r="G289" s="39"/>
      <c r="H289" s="40"/>
      <c r="I289" s="41"/>
      <c r="J289" s="41"/>
      <c r="K289" s="42"/>
      <c r="L289" s="42"/>
      <c r="M289" s="42"/>
      <c r="N289" s="41"/>
      <c r="T289" s="13"/>
    </row>
    <row r="290" spans="2:20" ht="14.4" x14ac:dyDescent="0.3">
      <c r="B290" s="29"/>
      <c r="C290" s="30"/>
      <c r="D290" s="30"/>
      <c r="E290" s="33"/>
      <c r="F290" s="36"/>
      <c r="G290" s="39"/>
      <c r="H290" s="43"/>
      <c r="I290" s="44"/>
      <c r="J290" s="44"/>
      <c r="K290" s="45"/>
      <c r="L290" s="45"/>
      <c r="M290" s="45"/>
      <c r="N290" s="44"/>
      <c r="T290" s="13"/>
    </row>
    <row r="291" spans="2:20" ht="14.4" x14ac:dyDescent="0.3">
      <c r="B291" s="31"/>
      <c r="C291" s="32"/>
      <c r="D291" s="32"/>
      <c r="E291" s="34"/>
      <c r="F291" s="37"/>
      <c r="G291" s="39"/>
      <c r="H291" s="40"/>
      <c r="I291" s="41"/>
      <c r="J291" s="41"/>
      <c r="K291" s="42"/>
      <c r="L291" s="42"/>
      <c r="M291" s="42"/>
      <c r="N291" s="41"/>
      <c r="T291" s="13"/>
    </row>
    <row r="292" spans="2:20" ht="14.4" x14ac:dyDescent="0.3">
      <c r="B292" s="29"/>
      <c r="C292" s="30"/>
      <c r="D292" s="30"/>
      <c r="E292" s="33"/>
      <c r="F292" s="36"/>
      <c r="G292" s="39"/>
      <c r="H292" s="43"/>
      <c r="I292" s="44"/>
      <c r="J292" s="44"/>
      <c r="K292" s="45"/>
      <c r="L292" s="45"/>
      <c r="M292" s="45"/>
      <c r="N292" s="44"/>
      <c r="T292" s="13"/>
    </row>
    <row r="293" spans="2:20" ht="14.4" x14ac:dyDescent="0.3">
      <c r="B293" s="31"/>
      <c r="C293" s="32"/>
      <c r="D293" s="32"/>
      <c r="E293" s="34"/>
      <c r="F293" s="37"/>
      <c r="G293" s="39"/>
      <c r="H293" s="40"/>
      <c r="I293" s="41"/>
      <c r="J293" s="41"/>
      <c r="K293" s="42"/>
      <c r="L293" s="42"/>
      <c r="M293" s="42"/>
      <c r="N293" s="41"/>
      <c r="T293" s="13"/>
    </row>
    <row r="294" spans="2:20" ht="14.4" x14ac:dyDescent="0.3">
      <c r="B294" s="29"/>
      <c r="C294" s="30"/>
      <c r="D294" s="30"/>
      <c r="E294" s="33"/>
      <c r="F294" s="36"/>
      <c r="G294" s="39"/>
      <c r="H294" s="43"/>
      <c r="I294" s="44"/>
      <c r="J294" s="44"/>
      <c r="K294" s="45"/>
      <c r="L294" s="45"/>
      <c r="M294" s="45"/>
      <c r="N294" s="44"/>
      <c r="T294" s="13"/>
    </row>
    <row r="295" spans="2:20" ht="14.4" x14ac:dyDescent="0.3">
      <c r="B295" s="31"/>
      <c r="C295" s="32"/>
      <c r="D295" s="32"/>
      <c r="E295" s="34"/>
      <c r="F295" s="37"/>
      <c r="G295" s="39"/>
      <c r="H295" s="40"/>
      <c r="I295" s="41"/>
      <c r="J295" s="41"/>
      <c r="K295" s="42"/>
      <c r="L295" s="42"/>
      <c r="M295" s="42"/>
      <c r="N295" s="41"/>
      <c r="T295" s="13"/>
    </row>
    <row r="296" spans="2:20" ht="14.4" x14ac:dyDescent="0.3">
      <c r="B296" s="29"/>
      <c r="C296" s="30"/>
      <c r="D296" s="30"/>
      <c r="E296" s="33"/>
      <c r="F296" s="36"/>
      <c r="G296" s="39"/>
      <c r="H296" s="43"/>
      <c r="I296" s="44"/>
      <c r="J296" s="44"/>
      <c r="K296" s="45"/>
      <c r="L296" s="45"/>
      <c r="M296" s="45"/>
      <c r="N296" s="44"/>
      <c r="T296" s="13"/>
    </row>
    <row r="297" spans="2:20" ht="14.4" x14ac:dyDescent="0.3">
      <c r="B297" s="31"/>
      <c r="C297" s="32"/>
      <c r="D297" s="32"/>
      <c r="E297" s="34"/>
      <c r="F297" s="37"/>
      <c r="G297" s="39"/>
      <c r="H297" s="40"/>
      <c r="I297" s="41"/>
      <c r="J297" s="41"/>
      <c r="K297" s="42"/>
      <c r="L297" s="42"/>
      <c r="M297" s="42"/>
      <c r="N297" s="41"/>
      <c r="T297" s="13"/>
    </row>
    <row r="298" spans="2:20" ht="14.4" x14ac:dyDescent="0.3">
      <c r="B298" s="29"/>
      <c r="C298" s="30"/>
      <c r="D298" s="30"/>
      <c r="E298" s="33"/>
      <c r="F298" s="36"/>
      <c r="G298" s="39"/>
      <c r="H298" s="43"/>
      <c r="I298" s="44"/>
      <c r="J298" s="44"/>
      <c r="K298" s="45"/>
      <c r="L298" s="45"/>
      <c r="M298" s="45"/>
      <c r="N298" s="44"/>
      <c r="T298" s="13"/>
    </row>
    <row r="299" spans="2:20" ht="14.4" x14ac:dyDescent="0.3">
      <c r="B299" s="31"/>
      <c r="C299" s="32"/>
      <c r="D299" s="32"/>
      <c r="E299" s="34"/>
      <c r="F299" s="37"/>
      <c r="G299" s="39"/>
      <c r="H299" s="40"/>
      <c r="I299" s="41"/>
      <c r="J299" s="41"/>
      <c r="K299" s="42"/>
      <c r="L299" s="42"/>
      <c r="M299" s="42"/>
      <c r="N299" s="41"/>
      <c r="T299" s="13"/>
    </row>
    <row r="300" spans="2:20" ht="14.4" x14ac:dyDescent="0.3">
      <c r="B300" s="29"/>
      <c r="C300" s="30"/>
      <c r="D300" s="30"/>
      <c r="E300" s="33"/>
      <c r="F300" s="36"/>
      <c r="G300" s="39"/>
      <c r="H300" s="43"/>
      <c r="I300" s="44"/>
      <c r="J300" s="44"/>
      <c r="K300" s="45"/>
      <c r="L300" s="45"/>
      <c r="M300" s="45"/>
      <c r="N300" s="44"/>
      <c r="T300" s="13"/>
    </row>
    <row r="301" spans="2:20" ht="14.4" hidden="1" x14ac:dyDescent="0.3">
      <c r="B301" s="31"/>
      <c r="C301" s="32"/>
      <c r="D301" s="32"/>
      <c r="E301" s="34"/>
      <c r="F301" s="37"/>
      <c r="G301" s="39"/>
      <c r="H301" s="40"/>
      <c r="I301" s="41"/>
      <c r="J301" s="41"/>
      <c r="K301" s="42"/>
      <c r="L301" s="42"/>
      <c r="M301" s="42"/>
      <c r="N301" s="41"/>
    </row>
    <row r="302" spans="2:20" ht="14.4" hidden="1" x14ac:dyDescent="0.3">
      <c r="H302" s="43"/>
      <c r="I302" s="44"/>
      <c r="J302" s="44"/>
      <c r="K302" s="45"/>
      <c r="L302" s="45"/>
      <c r="M302" s="45"/>
      <c r="N302" s="44"/>
    </row>
    <row r="303" spans="2:20" ht="14.4" hidden="1" x14ac:dyDescent="0.3">
      <c r="H303" s="40"/>
      <c r="I303" s="41"/>
      <c r="J303" s="41"/>
      <c r="K303" s="42"/>
      <c r="L303" s="42"/>
      <c r="M303" s="42"/>
      <c r="N303" s="41"/>
    </row>
    <row r="304" spans="2:20" ht="14.4" hidden="1" x14ac:dyDescent="0.3">
      <c r="H304" s="43"/>
      <c r="I304" s="44"/>
      <c r="J304" s="44"/>
      <c r="K304" s="45"/>
      <c r="L304" s="45"/>
      <c r="M304" s="45"/>
      <c r="N304" s="44"/>
    </row>
    <row r="305" spans="8:14" ht="14.4" hidden="1" x14ac:dyDescent="0.3">
      <c r="H305" s="40"/>
      <c r="I305" s="41"/>
      <c r="J305" s="41"/>
      <c r="K305" s="42"/>
      <c r="L305" s="42"/>
      <c r="M305" s="42"/>
      <c r="N305" s="41"/>
    </row>
    <row r="306" spans="8:14" ht="14.4" hidden="1" x14ac:dyDescent="0.3">
      <c r="H306" s="43"/>
      <c r="I306" s="44"/>
      <c r="J306" s="44"/>
      <c r="K306" s="45"/>
      <c r="L306" s="45"/>
      <c r="M306" s="45"/>
      <c r="N306" s="44"/>
    </row>
    <row r="307" spans="8:14" ht="14.4" hidden="1" x14ac:dyDescent="0.3">
      <c r="H307" s="40"/>
      <c r="I307" s="41"/>
      <c r="J307" s="41"/>
      <c r="K307" s="42"/>
      <c r="L307" s="42"/>
      <c r="M307" s="42"/>
      <c r="N307" s="41"/>
    </row>
    <row r="308" spans="8:14" ht="14.4" hidden="1" x14ac:dyDescent="0.3">
      <c r="H308" s="43"/>
      <c r="I308" s="44"/>
      <c r="J308" s="44"/>
      <c r="K308" s="45"/>
      <c r="L308" s="45"/>
      <c r="M308" s="45"/>
      <c r="N308" s="44"/>
    </row>
    <row r="309" spans="8:14" ht="14.4" hidden="1" x14ac:dyDescent="0.3">
      <c r="H309" s="40"/>
      <c r="I309" s="41"/>
      <c r="J309" s="41"/>
      <c r="K309" s="42"/>
      <c r="L309" s="42"/>
      <c r="M309" s="42"/>
      <c r="N309" s="41"/>
    </row>
    <row r="310" spans="8:14" ht="14.4" hidden="1" x14ac:dyDescent="0.3">
      <c r="H310" s="43"/>
      <c r="I310" s="44"/>
      <c r="J310" s="44"/>
      <c r="K310" s="45"/>
      <c r="L310" s="45"/>
      <c r="M310" s="45"/>
      <c r="N310" s="44"/>
    </row>
    <row r="311" spans="8:14" ht="14.4" hidden="1" x14ac:dyDescent="0.3">
      <c r="H311" s="40"/>
      <c r="I311" s="41"/>
      <c r="J311" s="41"/>
      <c r="K311" s="42"/>
      <c r="L311" s="42"/>
      <c r="M311" s="42"/>
      <c r="N311" s="41"/>
    </row>
    <row r="312" spans="8:14" ht="14.4" hidden="1" x14ac:dyDescent="0.3">
      <c r="H312" s="43"/>
      <c r="I312" s="44"/>
      <c r="J312" s="44"/>
      <c r="K312" s="45"/>
      <c r="L312" s="45"/>
      <c r="M312" s="45"/>
      <c r="N312" s="44"/>
    </row>
    <row r="313" spans="8:14" ht="14.4" hidden="1" x14ac:dyDescent="0.3">
      <c r="H313" s="40"/>
      <c r="I313" s="41"/>
      <c r="J313" s="41"/>
      <c r="K313" s="42"/>
      <c r="L313" s="42"/>
      <c r="M313" s="42"/>
      <c r="N313" s="41"/>
    </row>
    <row r="314" spans="8:14" ht="14.4" hidden="1" x14ac:dyDescent="0.3">
      <c r="H314" s="43"/>
      <c r="I314" s="44"/>
      <c r="J314" s="44"/>
      <c r="K314" s="45"/>
      <c r="L314" s="45"/>
      <c r="M314" s="45"/>
      <c r="N314" s="44"/>
    </row>
  </sheetData>
  <mergeCells count="3">
    <mergeCell ref="B5:E5"/>
    <mergeCell ref="H6:L6"/>
    <mergeCell ref="M6:N6"/>
  </mergeCells>
  <dataValidations count="1">
    <dataValidation type="list" allowBlank="1" showInputMessage="1" showErrorMessage="1" prompt="Select the period for historical data:_x000a_D - days_x000a_M - months_x000a_Q - quarters_x000a_Y - years" sqref="P2" xr:uid="{DAEF170A-D013-4A29-BBA3-84689FBC0654}">
      <formula1>Period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D125"/>
  <sheetViews>
    <sheetView workbookViewId="0">
      <selection activeCell="D8" sqref="D8"/>
    </sheetView>
  </sheetViews>
  <sheetFormatPr defaultRowHeight="14.4" x14ac:dyDescent="0.3"/>
  <cols>
    <col min="1" max="1" width="4" customWidth="1"/>
    <col min="2" max="3" width="16" customWidth="1"/>
    <col min="4" max="4" width="60" customWidth="1"/>
  </cols>
  <sheetData>
    <row r="1" spans="2:4" ht="24" customHeight="1" x14ac:dyDescent="0.3">
      <c r="B1" s="51" t="s">
        <v>73</v>
      </c>
      <c r="C1" s="52"/>
      <c r="D1" s="52"/>
    </row>
    <row r="3" spans="2:4" x14ac:dyDescent="0.3">
      <c r="B3" s="5" t="s">
        <v>45</v>
      </c>
      <c r="C3" s="6">
        <f>CONFIG!$B$3</f>
        <v>0</v>
      </c>
    </row>
    <row r="4" spans="2:4" ht="28.2" customHeight="1" x14ac:dyDescent="0.3">
      <c r="B4" s="56" t="s">
        <v>74</v>
      </c>
      <c r="C4" s="52"/>
      <c r="D4" s="52"/>
    </row>
    <row r="5" spans="2:4" x14ac:dyDescent="0.3">
      <c r="B5" s="3" t="s">
        <v>75</v>
      </c>
      <c r="C5" s="3" t="s">
        <v>76</v>
      </c>
    </row>
    <row r="6" spans="2:4" x14ac:dyDescent="0.3">
      <c r="B6" s="11" t="e" cm="1">
        <f t="array" aca="1" ref="B6" ca="1">_xll.BDH(CONFIG!$B$3,"PX_LAST",TODAY()-3653,TODAY(),"Per=cm","Days=A","Fill=P")</f>
        <v>#NAME?</v>
      </c>
    </row>
    <row r="7" spans="2:4" x14ac:dyDescent="0.3">
      <c r="B7" s="12"/>
    </row>
    <row r="8" spans="2:4" x14ac:dyDescent="0.3">
      <c r="B8" s="12"/>
    </row>
    <row r="9" spans="2:4" x14ac:dyDescent="0.3">
      <c r="B9" s="12"/>
    </row>
    <row r="10" spans="2:4" x14ac:dyDescent="0.3">
      <c r="B10" s="12"/>
    </row>
    <row r="11" spans="2:4" x14ac:dyDescent="0.3">
      <c r="B11" s="12"/>
    </row>
    <row r="12" spans="2:4" x14ac:dyDescent="0.3">
      <c r="B12" s="12"/>
    </row>
    <row r="13" spans="2:4" x14ac:dyDescent="0.3">
      <c r="B13" s="12"/>
    </row>
    <row r="14" spans="2:4" x14ac:dyDescent="0.3">
      <c r="B14" s="12"/>
    </row>
    <row r="15" spans="2:4" x14ac:dyDescent="0.3">
      <c r="B15" s="12"/>
    </row>
    <row r="16" spans="2:4" x14ac:dyDescent="0.3">
      <c r="B16" s="12"/>
    </row>
    <row r="17" spans="2:2" x14ac:dyDescent="0.3">
      <c r="B17" s="12"/>
    </row>
    <row r="18" spans="2:2" x14ac:dyDescent="0.3">
      <c r="B18" s="12"/>
    </row>
    <row r="19" spans="2:2" x14ac:dyDescent="0.3">
      <c r="B19" s="12"/>
    </row>
    <row r="20" spans="2:2" x14ac:dyDescent="0.3">
      <c r="B20" s="12"/>
    </row>
    <row r="21" spans="2:2" x14ac:dyDescent="0.3">
      <c r="B21" s="12"/>
    </row>
    <row r="22" spans="2:2" x14ac:dyDescent="0.3">
      <c r="B22" s="12"/>
    </row>
    <row r="23" spans="2:2" x14ac:dyDescent="0.3">
      <c r="B23" s="12"/>
    </row>
    <row r="24" spans="2:2" x14ac:dyDescent="0.3">
      <c r="B24" s="12"/>
    </row>
    <row r="25" spans="2:2" x14ac:dyDescent="0.3">
      <c r="B25" s="12"/>
    </row>
    <row r="26" spans="2:2" x14ac:dyDescent="0.3">
      <c r="B26" s="12"/>
    </row>
    <row r="27" spans="2:2" x14ac:dyDescent="0.3">
      <c r="B27" s="12"/>
    </row>
    <row r="28" spans="2:2" x14ac:dyDescent="0.3">
      <c r="B28" s="12"/>
    </row>
    <row r="29" spans="2:2" x14ac:dyDescent="0.3">
      <c r="B29" s="12"/>
    </row>
    <row r="30" spans="2:2" x14ac:dyDescent="0.3">
      <c r="B30" s="12"/>
    </row>
    <row r="31" spans="2:2" x14ac:dyDescent="0.3">
      <c r="B31" s="12"/>
    </row>
    <row r="32" spans="2:2" x14ac:dyDescent="0.3">
      <c r="B32" s="12"/>
    </row>
    <row r="33" spans="2:2" x14ac:dyDescent="0.3">
      <c r="B33" s="12"/>
    </row>
    <row r="34" spans="2:2" x14ac:dyDescent="0.3">
      <c r="B34" s="12"/>
    </row>
    <row r="35" spans="2:2" x14ac:dyDescent="0.3">
      <c r="B35" s="12"/>
    </row>
    <row r="36" spans="2:2" x14ac:dyDescent="0.3">
      <c r="B36" s="12"/>
    </row>
    <row r="37" spans="2:2" x14ac:dyDescent="0.3">
      <c r="B37" s="12"/>
    </row>
    <row r="38" spans="2:2" x14ac:dyDescent="0.3">
      <c r="B38" s="12"/>
    </row>
    <row r="39" spans="2:2" x14ac:dyDescent="0.3">
      <c r="B39" s="12"/>
    </row>
    <row r="40" spans="2:2" x14ac:dyDescent="0.3">
      <c r="B40" s="12"/>
    </row>
    <row r="41" spans="2:2" x14ac:dyDescent="0.3">
      <c r="B41" s="12"/>
    </row>
    <row r="42" spans="2:2" x14ac:dyDescent="0.3">
      <c r="B42" s="12"/>
    </row>
    <row r="43" spans="2:2" x14ac:dyDescent="0.3">
      <c r="B43" s="12"/>
    </row>
    <row r="44" spans="2:2" x14ac:dyDescent="0.3">
      <c r="B44" s="12"/>
    </row>
    <row r="45" spans="2:2" x14ac:dyDescent="0.3">
      <c r="B45" s="12"/>
    </row>
    <row r="46" spans="2:2" x14ac:dyDescent="0.3">
      <c r="B46" s="12"/>
    </row>
    <row r="47" spans="2:2" x14ac:dyDescent="0.3">
      <c r="B47" s="12"/>
    </row>
    <row r="48" spans="2:2" x14ac:dyDescent="0.3">
      <c r="B48" s="12"/>
    </row>
    <row r="49" spans="2:2" x14ac:dyDescent="0.3">
      <c r="B49" s="12"/>
    </row>
    <row r="50" spans="2:2" x14ac:dyDescent="0.3">
      <c r="B50" s="12"/>
    </row>
    <row r="51" spans="2:2" x14ac:dyDescent="0.3">
      <c r="B51" s="12"/>
    </row>
    <row r="52" spans="2:2" x14ac:dyDescent="0.3">
      <c r="B52" s="12"/>
    </row>
    <row r="53" spans="2:2" x14ac:dyDescent="0.3">
      <c r="B53" s="12"/>
    </row>
    <row r="54" spans="2:2" x14ac:dyDescent="0.3">
      <c r="B54" s="12"/>
    </row>
    <row r="55" spans="2:2" x14ac:dyDescent="0.3">
      <c r="B55" s="12"/>
    </row>
    <row r="56" spans="2:2" x14ac:dyDescent="0.3">
      <c r="B56" s="12"/>
    </row>
    <row r="57" spans="2:2" x14ac:dyDescent="0.3">
      <c r="B57" s="12"/>
    </row>
    <row r="58" spans="2:2" x14ac:dyDescent="0.3">
      <c r="B58" s="12"/>
    </row>
    <row r="59" spans="2:2" x14ac:dyDescent="0.3">
      <c r="B59" s="12"/>
    </row>
    <row r="60" spans="2:2" x14ac:dyDescent="0.3">
      <c r="B60" s="12"/>
    </row>
    <row r="61" spans="2:2" x14ac:dyDescent="0.3">
      <c r="B61" s="12"/>
    </row>
    <row r="62" spans="2:2" x14ac:dyDescent="0.3">
      <c r="B62" s="12"/>
    </row>
    <row r="63" spans="2:2" x14ac:dyDescent="0.3">
      <c r="B63" s="12"/>
    </row>
    <row r="64" spans="2:2" x14ac:dyDescent="0.3">
      <c r="B64" s="12"/>
    </row>
    <row r="65" spans="2:2" x14ac:dyDescent="0.3">
      <c r="B65" s="12"/>
    </row>
    <row r="66" spans="2:2" x14ac:dyDescent="0.3">
      <c r="B66" s="12"/>
    </row>
    <row r="67" spans="2:2" x14ac:dyDescent="0.3">
      <c r="B67" s="12"/>
    </row>
    <row r="68" spans="2:2" x14ac:dyDescent="0.3">
      <c r="B68" s="12"/>
    </row>
    <row r="69" spans="2:2" x14ac:dyDescent="0.3">
      <c r="B69" s="12"/>
    </row>
    <row r="70" spans="2:2" x14ac:dyDescent="0.3">
      <c r="B70" s="12"/>
    </row>
    <row r="71" spans="2:2" x14ac:dyDescent="0.3">
      <c r="B71" s="12"/>
    </row>
    <row r="72" spans="2:2" x14ac:dyDescent="0.3">
      <c r="B72" s="12"/>
    </row>
    <row r="73" spans="2:2" x14ac:dyDescent="0.3">
      <c r="B73" s="12"/>
    </row>
    <row r="74" spans="2:2" x14ac:dyDescent="0.3">
      <c r="B74" s="12"/>
    </row>
    <row r="75" spans="2:2" x14ac:dyDescent="0.3">
      <c r="B75" s="12"/>
    </row>
    <row r="76" spans="2:2" x14ac:dyDescent="0.3">
      <c r="B76" s="12"/>
    </row>
    <row r="77" spans="2:2" x14ac:dyDescent="0.3">
      <c r="B77" s="12"/>
    </row>
    <row r="78" spans="2:2" x14ac:dyDescent="0.3">
      <c r="B78" s="12"/>
    </row>
    <row r="79" spans="2:2" x14ac:dyDescent="0.3">
      <c r="B79" s="12"/>
    </row>
    <row r="80" spans="2:2" x14ac:dyDescent="0.3">
      <c r="B80" s="12"/>
    </row>
    <row r="81" spans="2:2" x14ac:dyDescent="0.3">
      <c r="B81" s="12"/>
    </row>
    <row r="82" spans="2:2" x14ac:dyDescent="0.3">
      <c r="B82" s="12"/>
    </row>
    <row r="83" spans="2:2" x14ac:dyDescent="0.3">
      <c r="B83" s="12"/>
    </row>
    <row r="84" spans="2:2" x14ac:dyDescent="0.3">
      <c r="B84" s="12"/>
    </row>
    <row r="85" spans="2:2" x14ac:dyDescent="0.3">
      <c r="B85" s="12"/>
    </row>
    <row r="86" spans="2:2" x14ac:dyDescent="0.3">
      <c r="B86" s="12"/>
    </row>
    <row r="87" spans="2:2" x14ac:dyDescent="0.3">
      <c r="B87" s="12"/>
    </row>
    <row r="88" spans="2:2" x14ac:dyDescent="0.3">
      <c r="B88" s="12"/>
    </row>
    <row r="89" spans="2:2" x14ac:dyDescent="0.3">
      <c r="B89" s="12"/>
    </row>
    <row r="90" spans="2:2" x14ac:dyDescent="0.3">
      <c r="B90" s="12"/>
    </row>
    <row r="91" spans="2:2" x14ac:dyDescent="0.3">
      <c r="B91" s="12"/>
    </row>
    <row r="92" spans="2:2" x14ac:dyDescent="0.3">
      <c r="B92" s="12"/>
    </row>
    <row r="93" spans="2:2" x14ac:dyDescent="0.3">
      <c r="B93" s="12"/>
    </row>
    <row r="94" spans="2:2" x14ac:dyDescent="0.3">
      <c r="B94" s="12"/>
    </row>
    <row r="95" spans="2:2" x14ac:dyDescent="0.3">
      <c r="B95" s="12"/>
    </row>
    <row r="96" spans="2:2" x14ac:dyDescent="0.3">
      <c r="B96" s="12"/>
    </row>
    <row r="97" spans="2:2" x14ac:dyDescent="0.3">
      <c r="B97" s="12"/>
    </row>
    <row r="98" spans="2:2" x14ac:dyDescent="0.3">
      <c r="B98" s="12"/>
    </row>
    <row r="99" spans="2:2" x14ac:dyDescent="0.3">
      <c r="B99" s="12"/>
    </row>
    <row r="100" spans="2:2" x14ac:dyDescent="0.3">
      <c r="B100" s="12"/>
    </row>
    <row r="101" spans="2:2" x14ac:dyDescent="0.3">
      <c r="B101" s="12"/>
    </row>
    <row r="102" spans="2:2" x14ac:dyDescent="0.3">
      <c r="B102" s="12"/>
    </row>
    <row r="103" spans="2:2" x14ac:dyDescent="0.3">
      <c r="B103" s="12"/>
    </row>
    <row r="104" spans="2:2" x14ac:dyDescent="0.3">
      <c r="B104" s="12"/>
    </row>
    <row r="105" spans="2:2" x14ac:dyDescent="0.3">
      <c r="B105" s="12"/>
    </row>
    <row r="106" spans="2:2" x14ac:dyDescent="0.3">
      <c r="B106" s="12"/>
    </row>
    <row r="107" spans="2:2" x14ac:dyDescent="0.3">
      <c r="B107" s="12"/>
    </row>
    <row r="108" spans="2:2" x14ac:dyDescent="0.3">
      <c r="B108" s="12"/>
    </row>
    <row r="109" spans="2:2" x14ac:dyDescent="0.3">
      <c r="B109" s="12"/>
    </row>
    <row r="110" spans="2:2" x14ac:dyDescent="0.3">
      <c r="B110" s="12"/>
    </row>
    <row r="111" spans="2:2" x14ac:dyDescent="0.3">
      <c r="B111" s="12"/>
    </row>
    <row r="112" spans="2:2" x14ac:dyDescent="0.3">
      <c r="B112" s="12"/>
    </row>
    <row r="113" spans="2:2" x14ac:dyDescent="0.3">
      <c r="B113" s="12"/>
    </row>
    <row r="114" spans="2:2" x14ac:dyDescent="0.3">
      <c r="B114" s="12"/>
    </row>
    <row r="115" spans="2:2" x14ac:dyDescent="0.3">
      <c r="B115" s="12"/>
    </row>
    <row r="116" spans="2:2" x14ac:dyDescent="0.3">
      <c r="B116" s="12"/>
    </row>
    <row r="117" spans="2:2" x14ac:dyDescent="0.3">
      <c r="B117" s="12"/>
    </row>
    <row r="118" spans="2:2" x14ac:dyDescent="0.3">
      <c r="B118" s="12"/>
    </row>
    <row r="119" spans="2:2" x14ac:dyDescent="0.3">
      <c r="B119" s="12"/>
    </row>
    <row r="120" spans="2:2" x14ac:dyDescent="0.3">
      <c r="B120" s="12"/>
    </row>
    <row r="121" spans="2:2" x14ac:dyDescent="0.3">
      <c r="B121" s="12"/>
    </row>
    <row r="122" spans="2:2" x14ac:dyDescent="0.3">
      <c r="B122" s="12"/>
    </row>
    <row r="123" spans="2:2" x14ac:dyDescent="0.3">
      <c r="B123" s="12"/>
    </row>
    <row r="124" spans="2:2" x14ac:dyDescent="0.3">
      <c r="B124" s="12"/>
    </row>
    <row r="125" spans="2:2" x14ac:dyDescent="0.3">
      <c r="B125" s="12"/>
    </row>
  </sheetData>
  <mergeCells count="2">
    <mergeCell ref="B1:D1"/>
    <mergeCell ref="B4:D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D1310"/>
  <sheetViews>
    <sheetView workbookViewId="0">
      <selection activeCell="C3" sqref="C3"/>
    </sheetView>
  </sheetViews>
  <sheetFormatPr defaultRowHeight="14.4" x14ac:dyDescent="0.3"/>
  <cols>
    <col min="1" max="1" width="4" customWidth="1"/>
    <col min="2" max="3" width="16" customWidth="1"/>
    <col min="4" max="4" width="60" customWidth="1"/>
  </cols>
  <sheetData>
    <row r="1" spans="2:4" ht="24" customHeight="1" x14ac:dyDescent="0.3">
      <c r="B1" s="51" t="s">
        <v>77</v>
      </c>
      <c r="C1" s="52"/>
      <c r="D1" s="52"/>
    </row>
    <row r="3" spans="2:4" x14ac:dyDescent="0.3">
      <c r="B3" s="5" t="s">
        <v>45</v>
      </c>
      <c r="C3" s="6">
        <f>CONFIG!$B$3</f>
        <v>0</v>
      </c>
    </row>
    <row r="4" spans="2:4" ht="28.2" customHeight="1" x14ac:dyDescent="0.3">
      <c r="B4" s="56" t="s">
        <v>78</v>
      </c>
      <c r="C4" s="52"/>
      <c r="D4" s="52"/>
    </row>
    <row r="5" spans="2:4" x14ac:dyDescent="0.3">
      <c r="B5" s="3" t="s">
        <v>75</v>
      </c>
      <c r="C5" s="3" t="s">
        <v>76</v>
      </c>
    </row>
    <row r="6" spans="2:4" x14ac:dyDescent="0.3">
      <c r="B6" s="11" t="e" cm="1">
        <f t="array" aca="1" ref="B6" ca="1">_xll.BDH(CONFIG!$B$3,"PX_LAST",TODAY()-1826,TODAY(),"Per=cd","Days=W","Fill=P")</f>
        <v>#NAME?</v>
      </c>
    </row>
    <row r="7" spans="2:4" x14ac:dyDescent="0.3">
      <c r="B7" s="12"/>
    </row>
    <row r="8" spans="2:4" x14ac:dyDescent="0.3">
      <c r="B8" s="12"/>
    </row>
    <row r="9" spans="2:4" x14ac:dyDescent="0.3">
      <c r="B9" s="12"/>
    </row>
    <row r="10" spans="2:4" x14ac:dyDescent="0.3">
      <c r="B10" s="12"/>
    </row>
    <row r="11" spans="2:4" x14ac:dyDescent="0.3">
      <c r="B11" s="12"/>
    </row>
    <row r="12" spans="2:4" x14ac:dyDescent="0.3">
      <c r="B12" s="12"/>
    </row>
    <row r="13" spans="2:4" x14ac:dyDescent="0.3">
      <c r="B13" s="12"/>
    </row>
    <row r="14" spans="2:4" x14ac:dyDescent="0.3">
      <c r="B14" s="12"/>
    </row>
    <row r="15" spans="2:4" x14ac:dyDescent="0.3">
      <c r="B15" s="12"/>
    </row>
    <row r="16" spans="2:4" x14ac:dyDescent="0.3">
      <c r="B16" s="12"/>
    </row>
    <row r="17" spans="2:2" x14ac:dyDescent="0.3">
      <c r="B17" s="12"/>
    </row>
    <row r="18" spans="2:2" x14ac:dyDescent="0.3">
      <c r="B18" s="12"/>
    </row>
    <row r="19" spans="2:2" x14ac:dyDescent="0.3">
      <c r="B19" s="12"/>
    </row>
    <row r="20" spans="2:2" x14ac:dyDescent="0.3">
      <c r="B20" s="12"/>
    </row>
    <row r="21" spans="2:2" x14ac:dyDescent="0.3">
      <c r="B21" s="12"/>
    </row>
    <row r="22" spans="2:2" x14ac:dyDescent="0.3">
      <c r="B22" s="12"/>
    </row>
    <row r="23" spans="2:2" x14ac:dyDescent="0.3">
      <c r="B23" s="12"/>
    </row>
    <row r="24" spans="2:2" x14ac:dyDescent="0.3">
      <c r="B24" s="12"/>
    </row>
    <row r="25" spans="2:2" x14ac:dyDescent="0.3">
      <c r="B25" s="12"/>
    </row>
    <row r="26" spans="2:2" x14ac:dyDescent="0.3">
      <c r="B26" s="12"/>
    </row>
    <row r="27" spans="2:2" x14ac:dyDescent="0.3">
      <c r="B27" s="12"/>
    </row>
    <row r="28" spans="2:2" x14ac:dyDescent="0.3">
      <c r="B28" s="12"/>
    </row>
    <row r="29" spans="2:2" x14ac:dyDescent="0.3">
      <c r="B29" s="12"/>
    </row>
    <row r="30" spans="2:2" x14ac:dyDescent="0.3">
      <c r="B30" s="12"/>
    </row>
    <row r="31" spans="2:2" x14ac:dyDescent="0.3">
      <c r="B31" s="12"/>
    </row>
    <row r="32" spans="2:2" x14ac:dyDescent="0.3">
      <c r="B32" s="12"/>
    </row>
    <row r="33" spans="2:2" x14ac:dyDescent="0.3">
      <c r="B33" s="12"/>
    </row>
    <row r="34" spans="2:2" x14ac:dyDescent="0.3">
      <c r="B34" s="12"/>
    </row>
    <row r="35" spans="2:2" x14ac:dyDescent="0.3">
      <c r="B35" s="12"/>
    </row>
    <row r="36" spans="2:2" x14ac:dyDescent="0.3">
      <c r="B36" s="12"/>
    </row>
    <row r="37" spans="2:2" x14ac:dyDescent="0.3">
      <c r="B37" s="12"/>
    </row>
    <row r="38" spans="2:2" x14ac:dyDescent="0.3">
      <c r="B38" s="12"/>
    </row>
    <row r="39" spans="2:2" x14ac:dyDescent="0.3">
      <c r="B39" s="12"/>
    </row>
    <row r="40" spans="2:2" x14ac:dyDescent="0.3">
      <c r="B40" s="12"/>
    </row>
    <row r="41" spans="2:2" x14ac:dyDescent="0.3">
      <c r="B41" s="12"/>
    </row>
    <row r="42" spans="2:2" x14ac:dyDescent="0.3">
      <c r="B42" s="12"/>
    </row>
    <row r="43" spans="2:2" x14ac:dyDescent="0.3">
      <c r="B43" s="12"/>
    </row>
    <row r="44" spans="2:2" x14ac:dyDescent="0.3">
      <c r="B44" s="12"/>
    </row>
    <row r="45" spans="2:2" x14ac:dyDescent="0.3">
      <c r="B45" s="12"/>
    </row>
    <row r="46" spans="2:2" x14ac:dyDescent="0.3">
      <c r="B46" s="12"/>
    </row>
    <row r="47" spans="2:2" x14ac:dyDescent="0.3">
      <c r="B47" s="12"/>
    </row>
    <row r="48" spans="2:2" x14ac:dyDescent="0.3">
      <c r="B48" s="12"/>
    </row>
    <row r="49" spans="2:2" x14ac:dyDescent="0.3">
      <c r="B49" s="12"/>
    </row>
    <row r="50" spans="2:2" x14ac:dyDescent="0.3">
      <c r="B50" s="12"/>
    </row>
    <row r="51" spans="2:2" x14ac:dyDescent="0.3">
      <c r="B51" s="12"/>
    </row>
    <row r="52" spans="2:2" x14ac:dyDescent="0.3">
      <c r="B52" s="12"/>
    </row>
    <row r="53" spans="2:2" x14ac:dyDescent="0.3">
      <c r="B53" s="12"/>
    </row>
    <row r="54" spans="2:2" x14ac:dyDescent="0.3">
      <c r="B54" s="12"/>
    </row>
    <row r="55" spans="2:2" x14ac:dyDescent="0.3">
      <c r="B55" s="12"/>
    </row>
    <row r="56" spans="2:2" x14ac:dyDescent="0.3">
      <c r="B56" s="12"/>
    </row>
    <row r="57" spans="2:2" x14ac:dyDescent="0.3">
      <c r="B57" s="12"/>
    </row>
    <row r="58" spans="2:2" x14ac:dyDescent="0.3">
      <c r="B58" s="12"/>
    </row>
    <row r="59" spans="2:2" x14ac:dyDescent="0.3">
      <c r="B59" s="12"/>
    </row>
    <row r="60" spans="2:2" x14ac:dyDescent="0.3">
      <c r="B60" s="12"/>
    </row>
    <row r="61" spans="2:2" x14ac:dyDescent="0.3">
      <c r="B61" s="12"/>
    </row>
    <row r="62" spans="2:2" x14ac:dyDescent="0.3">
      <c r="B62" s="12"/>
    </row>
    <row r="63" spans="2:2" x14ac:dyDescent="0.3">
      <c r="B63" s="12"/>
    </row>
    <row r="64" spans="2:2" x14ac:dyDescent="0.3">
      <c r="B64" s="12"/>
    </row>
    <row r="65" spans="2:2" x14ac:dyDescent="0.3">
      <c r="B65" s="12"/>
    </row>
    <row r="66" spans="2:2" x14ac:dyDescent="0.3">
      <c r="B66" s="12"/>
    </row>
    <row r="67" spans="2:2" x14ac:dyDescent="0.3">
      <c r="B67" s="12"/>
    </row>
    <row r="68" spans="2:2" x14ac:dyDescent="0.3">
      <c r="B68" s="12"/>
    </row>
    <row r="69" spans="2:2" x14ac:dyDescent="0.3">
      <c r="B69" s="12"/>
    </row>
    <row r="70" spans="2:2" x14ac:dyDescent="0.3">
      <c r="B70" s="12"/>
    </row>
    <row r="71" spans="2:2" x14ac:dyDescent="0.3">
      <c r="B71" s="12"/>
    </row>
    <row r="72" spans="2:2" x14ac:dyDescent="0.3">
      <c r="B72" s="12"/>
    </row>
    <row r="73" spans="2:2" x14ac:dyDescent="0.3">
      <c r="B73" s="12"/>
    </row>
    <row r="74" spans="2:2" x14ac:dyDescent="0.3">
      <c r="B74" s="12"/>
    </row>
    <row r="75" spans="2:2" x14ac:dyDescent="0.3">
      <c r="B75" s="12"/>
    </row>
    <row r="76" spans="2:2" x14ac:dyDescent="0.3">
      <c r="B76" s="12"/>
    </row>
    <row r="77" spans="2:2" x14ac:dyDescent="0.3">
      <c r="B77" s="12"/>
    </row>
    <row r="78" spans="2:2" x14ac:dyDescent="0.3">
      <c r="B78" s="12"/>
    </row>
    <row r="79" spans="2:2" x14ac:dyDescent="0.3">
      <c r="B79" s="12"/>
    </row>
    <row r="80" spans="2:2" x14ac:dyDescent="0.3">
      <c r="B80" s="12"/>
    </row>
    <row r="81" spans="2:2" x14ac:dyDescent="0.3">
      <c r="B81" s="12"/>
    </row>
    <row r="82" spans="2:2" x14ac:dyDescent="0.3">
      <c r="B82" s="12"/>
    </row>
    <row r="83" spans="2:2" x14ac:dyDescent="0.3">
      <c r="B83" s="12"/>
    </row>
    <row r="84" spans="2:2" x14ac:dyDescent="0.3">
      <c r="B84" s="12"/>
    </row>
    <row r="85" spans="2:2" x14ac:dyDescent="0.3">
      <c r="B85" s="12"/>
    </row>
    <row r="86" spans="2:2" x14ac:dyDescent="0.3">
      <c r="B86" s="12"/>
    </row>
    <row r="87" spans="2:2" x14ac:dyDescent="0.3">
      <c r="B87" s="12"/>
    </row>
    <row r="88" spans="2:2" x14ac:dyDescent="0.3">
      <c r="B88" s="12"/>
    </row>
    <row r="89" spans="2:2" x14ac:dyDescent="0.3">
      <c r="B89" s="12"/>
    </row>
    <row r="90" spans="2:2" x14ac:dyDescent="0.3">
      <c r="B90" s="12"/>
    </row>
    <row r="91" spans="2:2" x14ac:dyDescent="0.3">
      <c r="B91" s="12"/>
    </row>
    <row r="92" spans="2:2" x14ac:dyDescent="0.3">
      <c r="B92" s="12"/>
    </row>
    <row r="93" spans="2:2" x14ac:dyDescent="0.3">
      <c r="B93" s="12"/>
    </row>
    <row r="94" spans="2:2" x14ac:dyDescent="0.3">
      <c r="B94" s="12"/>
    </row>
    <row r="95" spans="2:2" x14ac:dyDescent="0.3">
      <c r="B95" s="12"/>
    </row>
    <row r="96" spans="2:2" x14ac:dyDescent="0.3">
      <c r="B96" s="12"/>
    </row>
    <row r="97" spans="2:2" x14ac:dyDescent="0.3">
      <c r="B97" s="12"/>
    </row>
    <row r="98" spans="2:2" x14ac:dyDescent="0.3">
      <c r="B98" s="12"/>
    </row>
    <row r="99" spans="2:2" x14ac:dyDescent="0.3">
      <c r="B99" s="12"/>
    </row>
    <row r="100" spans="2:2" x14ac:dyDescent="0.3">
      <c r="B100" s="12"/>
    </row>
    <row r="101" spans="2:2" x14ac:dyDescent="0.3">
      <c r="B101" s="12"/>
    </row>
    <row r="102" spans="2:2" x14ac:dyDescent="0.3">
      <c r="B102" s="12"/>
    </row>
    <row r="103" spans="2:2" x14ac:dyDescent="0.3">
      <c r="B103" s="12"/>
    </row>
    <row r="104" spans="2:2" x14ac:dyDescent="0.3">
      <c r="B104" s="12"/>
    </row>
    <row r="105" spans="2:2" x14ac:dyDescent="0.3">
      <c r="B105" s="12"/>
    </row>
    <row r="106" spans="2:2" x14ac:dyDescent="0.3">
      <c r="B106" s="12"/>
    </row>
    <row r="107" spans="2:2" x14ac:dyDescent="0.3">
      <c r="B107" s="12"/>
    </row>
    <row r="108" spans="2:2" x14ac:dyDescent="0.3">
      <c r="B108" s="12"/>
    </row>
    <row r="109" spans="2:2" x14ac:dyDescent="0.3">
      <c r="B109" s="12"/>
    </row>
    <row r="110" spans="2:2" x14ac:dyDescent="0.3">
      <c r="B110" s="12"/>
    </row>
    <row r="111" spans="2:2" x14ac:dyDescent="0.3">
      <c r="B111" s="12"/>
    </row>
    <row r="112" spans="2:2" x14ac:dyDescent="0.3">
      <c r="B112" s="12"/>
    </row>
    <row r="113" spans="2:2" x14ac:dyDescent="0.3">
      <c r="B113" s="12"/>
    </row>
    <row r="114" spans="2:2" x14ac:dyDescent="0.3">
      <c r="B114" s="12"/>
    </row>
    <row r="115" spans="2:2" x14ac:dyDescent="0.3">
      <c r="B115" s="12"/>
    </row>
    <row r="116" spans="2:2" x14ac:dyDescent="0.3">
      <c r="B116" s="12"/>
    </row>
    <row r="117" spans="2:2" x14ac:dyDescent="0.3">
      <c r="B117" s="12"/>
    </row>
    <row r="118" spans="2:2" x14ac:dyDescent="0.3">
      <c r="B118" s="12"/>
    </row>
    <row r="119" spans="2:2" x14ac:dyDescent="0.3">
      <c r="B119" s="12"/>
    </row>
    <row r="120" spans="2:2" x14ac:dyDescent="0.3">
      <c r="B120" s="12"/>
    </row>
    <row r="121" spans="2:2" x14ac:dyDescent="0.3">
      <c r="B121" s="12"/>
    </row>
    <row r="122" spans="2:2" x14ac:dyDescent="0.3">
      <c r="B122" s="12"/>
    </row>
    <row r="123" spans="2:2" x14ac:dyDescent="0.3">
      <c r="B123" s="12"/>
    </row>
    <row r="124" spans="2:2" x14ac:dyDescent="0.3">
      <c r="B124" s="12"/>
    </row>
    <row r="125" spans="2:2" x14ac:dyDescent="0.3">
      <c r="B125" s="12"/>
    </row>
    <row r="126" spans="2:2" x14ac:dyDescent="0.3">
      <c r="B126" s="12"/>
    </row>
    <row r="127" spans="2:2" x14ac:dyDescent="0.3">
      <c r="B127" s="12"/>
    </row>
    <row r="128" spans="2:2" x14ac:dyDescent="0.3">
      <c r="B128" s="12"/>
    </row>
    <row r="129" spans="2:2" x14ac:dyDescent="0.3">
      <c r="B129" s="12"/>
    </row>
    <row r="130" spans="2:2" x14ac:dyDescent="0.3">
      <c r="B130" s="12"/>
    </row>
    <row r="131" spans="2:2" x14ac:dyDescent="0.3">
      <c r="B131" s="12"/>
    </row>
    <row r="132" spans="2:2" x14ac:dyDescent="0.3">
      <c r="B132" s="12"/>
    </row>
    <row r="133" spans="2:2" x14ac:dyDescent="0.3">
      <c r="B133" s="12"/>
    </row>
    <row r="134" spans="2:2" x14ac:dyDescent="0.3">
      <c r="B134" s="12"/>
    </row>
    <row r="135" spans="2:2" x14ac:dyDescent="0.3">
      <c r="B135" s="12"/>
    </row>
    <row r="136" spans="2:2" x14ac:dyDescent="0.3">
      <c r="B136" s="12"/>
    </row>
    <row r="137" spans="2:2" x14ac:dyDescent="0.3">
      <c r="B137" s="12"/>
    </row>
    <row r="138" spans="2:2" x14ac:dyDescent="0.3">
      <c r="B138" s="12"/>
    </row>
    <row r="139" spans="2:2" x14ac:dyDescent="0.3">
      <c r="B139" s="12"/>
    </row>
    <row r="140" spans="2:2" x14ac:dyDescent="0.3">
      <c r="B140" s="12"/>
    </row>
    <row r="141" spans="2:2" x14ac:dyDescent="0.3">
      <c r="B141" s="12"/>
    </row>
    <row r="142" spans="2:2" x14ac:dyDescent="0.3">
      <c r="B142" s="12"/>
    </row>
    <row r="143" spans="2:2" x14ac:dyDescent="0.3">
      <c r="B143" s="12"/>
    </row>
    <row r="144" spans="2:2" x14ac:dyDescent="0.3">
      <c r="B144" s="12"/>
    </row>
    <row r="145" spans="2:2" x14ac:dyDescent="0.3">
      <c r="B145" s="12"/>
    </row>
    <row r="146" spans="2:2" x14ac:dyDescent="0.3">
      <c r="B146" s="12"/>
    </row>
    <row r="147" spans="2:2" x14ac:dyDescent="0.3">
      <c r="B147" s="12"/>
    </row>
    <row r="148" spans="2:2" x14ac:dyDescent="0.3">
      <c r="B148" s="12"/>
    </row>
    <row r="149" spans="2:2" x14ac:dyDescent="0.3">
      <c r="B149" s="12"/>
    </row>
    <row r="150" spans="2:2" x14ac:dyDescent="0.3">
      <c r="B150" s="12"/>
    </row>
    <row r="151" spans="2:2" x14ac:dyDescent="0.3">
      <c r="B151" s="12"/>
    </row>
    <row r="152" spans="2:2" x14ac:dyDescent="0.3">
      <c r="B152" s="12"/>
    </row>
    <row r="153" spans="2:2" x14ac:dyDescent="0.3">
      <c r="B153" s="12"/>
    </row>
    <row r="154" spans="2:2" x14ac:dyDescent="0.3">
      <c r="B154" s="12"/>
    </row>
    <row r="155" spans="2:2" x14ac:dyDescent="0.3">
      <c r="B155" s="12"/>
    </row>
    <row r="156" spans="2:2" x14ac:dyDescent="0.3">
      <c r="B156" s="12"/>
    </row>
    <row r="157" spans="2:2" x14ac:dyDescent="0.3">
      <c r="B157" s="12"/>
    </row>
    <row r="158" spans="2:2" x14ac:dyDescent="0.3">
      <c r="B158" s="12"/>
    </row>
    <row r="159" spans="2:2" x14ac:dyDescent="0.3">
      <c r="B159" s="12"/>
    </row>
    <row r="160" spans="2:2" x14ac:dyDescent="0.3">
      <c r="B160" s="12"/>
    </row>
    <row r="161" spans="2:2" x14ac:dyDescent="0.3">
      <c r="B161" s="12"/>
    </row>
    <row r="162" spans="2:2" x14ac:dyDescent="0.3">
      <c r="B162" s="12"/>
    </row>
    <row r="163" spans="2:2" x14ac:dyDescent="0.3">
      <c r="B163" s="12"/>
    </row>
    <row r="164" spans="2:2" x14ac:dyDescent="0.3">
      <c r="B164" s="12"/>
    </row>
    <row r="165" spans="2:2" x14ac:dyDescent="0.3">
      <c r="B165" s="12"/>
    </row>
    <row r="166" spans="2:2" x14ac:dyDescent="0.3">
      <c r="B166" s="12"/>
    </row>
    <row r="167" spans="2:2" x14ac:dyDescent="0.3">
      <c r="B167" s="12"/>
    </row>
    <row r="168" spans="2:2" x14ac:dyDescent="0.3">
      <c r="B168" s="12"/>
    </row>
    <row r="169" spans="2:2" x14ac:dyDescent="0.3">
      <c r="B169" s="12"/>
    </row>
    <row r="170" spans="2:2" x14ac:dyDescent="0.3">
      <c r="B170" s="12"/>
    </row>
    <row r="171" spans="2:2" x14ac:dyDescent="0.3">
      <c r="B171" s="12"/>
    </row>
    <row r="172" spans="2:2" x14ac:dyDescent="0.3">
      <c r="B172" s="12"/>
    </row>
    <row r="173" spans="2:2" x14ac:dyDescent="0.3">
      <c r="B173" s="12"/>
    </row>
    <row r="174" spans="2:2" x14ac:dyDescent="0.3">
      <c r="B174" s="12"/>
    </row>
    <row r="175" spans="2:2" x14ac:dyDescent="0.3">
      <c r="B175" s="12"/>
    </row>
    <row r="176" spans="2:2" x14ac:dyDescent="0.3">
      <c r="B176" s="12"/>
    </row>
    <row r="177" spans="2:2" x14ac:dyDescent="0.3">
      <c r="B177" s="12"/>
    </row>
    <row r="178" spans="2:2" x14ac:dyDescent="0.3">
      <c r="B178" s="12"/>
    </row>
    <row r="179" spans="2:2" x14ac:dyDescent="0.3">
      <c r="B179" s="12"/>
    </row>
    <row r="180" spans="2:2" x14ac:dyDescent="0.3">
      <c r="B180" s="12"/>
    </row>
    <row r="181" spans="2:2" x14ac:dyDescent="0.3">
      <c r="B181" s="12"/>
    </row>
    <row r="182" spans="2:2" x14ac:dyDescent="0.3">
      <c r="B182" s="12"/>
    </row>
    <row r="183" spans="2:2" x14ac:dyDescent="0.3">
      <c r="B183" s="12"/>
    </row>
    <row r="184" spans="2:2" x14ac:dyDescent="0.3">
      <c r="B184" s="12"/>
    </row>
    <row r="185" spans="2:2" x14ac:dyDescent="0.3">
      <c r="B185" s="12"/>
    </row>
    <row r="186" spans="2:2" x14ac:dyDescent="0.3">
      <c r="B186" s="12"/>
    </row>
    <row r="187" spans="2:2" x14ac:dyDescent="0.3">
      <c r="B187" s="12"/>
    </row>
    <row r="188" spans="2:2" x14ac:dyDescent="0.3">
      <c r="B188" s="12"/>
    </row>
    <row r="189" spans="2:2" x14ac:dyDescent="0.3">
      <c r="B189" s="12"/>
    </row>
    <row r="190" spans="2:2" x14ac:dyDescent="0.3">
      <c r="B190" s="12"/>
    </row>
    <row r="191" spans="2:2" x14ac:dyDescent="0.3">
      <c r="B191" s="12"/>
    </row>
    <row r="192" spans="2:2" x14ac:dyDescent="0.3">
      <c r="B192" s="12"/>
    </row>
    <row r="193" spans="2:2" x14ac:dyDescent="0.3">
      <c r="B193" s="12"/>
    </row>
    <row r="194" spans="2:2" x14ac:dyDescent="0.3">
      <c r="B194" s="12"/>
    </row>
    <row r="195" spans="2:2" x14ac:dyDescent="0.3">
      <c r="B195" s="12"/>
    </row>
    <row r="196" spans="2:2" x14ac:dyDescent="0.3">
      <c r="B196" s="12"/>
    </row>
    <row r="197" spans="2:2" x14ac:dyDescent="0.3">
      <c r="B197" s="12"/>
    </row>
    <row r="198" spans="2:2" x14ac:dyDescent="0.3">
      <c r="B198" s="12"/>
    </row>
    <row r="199" spans="2:2" x14ac:dyDescent="0.3">
      <c r="B199" s="12"/>
    </row>
    <row r="200" spans="2:2" x14ac:dyDescent="0.3">
      <c r="B200" s="12"/>
    </row>
    <row r="201" spans="2:2" x14ac:dyDescent="0.3">
      <c r="B201" s="12"/>
    </row>
    <row r="202" spans="2:2" x14ac:dyDescent="0.3">
      <c r="B202" s="12"/>
    </row>
    <row r="203" spans="2:2" x14ac:dyDescent="0.3">
      <c r="B203" s="12"/>
    </row>
    <row r="204" spans="2:2" x14ac:dyDescent="0.3">
      <c r="B204" s="12"/>
    </row>
    <row r="205" spans="2:2" x14ac:dyDescent="0.3">
      <c r="B205" s="12"/>
    </row>
    <row r="206" spans="2:2" x14ac:dyDescent="0.3">
      <c r="B206" s="12"/>
    </row>
    <row r="207" spans="2:2" x14ac:dyDescent="0.3">
      <c r="B207" s="12"/>
    </row>
    <row r="208" spans="2:2" x14ac:dyDescent="0.3">
      <c r="B208" s="12"/>
    </row>
    <row r="209" spans="2:2" x14ac:dyDescent="0.3">
      <c r="B209" s="12"/>
    </row>
    <row r="210" spans="2:2" x14ac:dyDescent="0.3">
      <c r="B210" s="12"/>
    </row>
    <row r="211" spans="2:2" x14ac:dyDescent="0.3">
      <c r="B211" s="12"/>
    </row>
    <row r="212" spans="2:2" x14ac:dyDescent="0.3">
      <c r="B212" s="12"/>
    </row>
    <row r="213" spans="2:2" x14ac:dyDescent="0.3">
      <c r="B213" s="12"/>
    </row>
    <row r="214" spans="2:2" x14ac:dyDescent="0.3">
      <c r="B214" s="12"/>
    </row>
    <row r="215" spans="2:2" x14ac:dyDescent="0.3">
      <c r="B215" s="12"/>
    </row>
    <row r="216" spans="2:2" x14ac:dyDescent="0.3">
      <c r="B216" s="12"/>
    </row>
    <row r="217" spans="2:2" x14ac:dyDescent="0.3">
      <c r="B217" s="12"/>
    </row>
    <row r="218" spans="2:2" x14ac:dyDescent="0.3">
      <c r="B218" s="12"/>
    </row>
    <row r="219" spans="2:2" x14ac:dyDescent="0.3">
      <c r="B219" s="12"/>
    </row>
    <row r="220" spans="2:2" x14ac:dyDescent="0.3">
      <c r="B220" s="12"/>
    </row>
    <row r="221" spans="2:2" x14ac:dyDescent="0.3">
      <c r="B221" s="12"/>
    </row>
    <row r="222" spans="2:2" x14ac:dyDescent="0.3">
      <c r="B222" s="12"/>
    </row>
    <row r="223" spans="2:2" x14ac:dyDescent="0.3">
      <c r="B223" s="12"/>
    </row>
    <row r="224" spans="2:2" x14ac:dyDescent="0.3">
      <c r="B224" s="12"/>
    </row>
    <row r="225" spans="2:2" x14ac:dyDescent="0.3">
      <c r="B225" s="12"/>
    </row>
    <row r="226" spans="2:2" x14ac:dyDescent="0.3">
      <c r="B226" s="12"/>
    </row>
    <row r="227" spans="2:2" x14ac:dyDescent="0.3">
      <c r="B227" s="12"/>
    </row>
    <row r="228" spans="2:2" x14ac:dyDescent="0.3">
      <c r="B228" s="12"/>
    </row>
    <row r="229" spans="2:2" x14ac:dyDescent="0.3">
      <c r="B229" s="12"/>
    </row>
    <row r="230" spans="2:2" x14ac:dyDescent="0.3">
      <c r="B230" s="12"/>
    </row>
    <row r="231" spans="2:2" x14ac:dyDescent="0.3">
      <c r="B231" s="12"/>
    </row>
    <row r="232" spans="2:2" x14ac:dyDescent="0.3">
      <c r="B232" s="12"/>
    </row>
    <row r="233" spans="2:2" x14ac:dyDescent="0.3">
      <c r="B233" s="12"/>
    </row>
    <row r="234" spans="2:2" x14ac:dyDescent="0.3">
      <c r="B234" s="12"/>
    </row>
    <row r="235" spans="2:2" x14ac:dyDescent="0.3">
      <c r="B235" s="12"/>
    </row>
    <row r="236" spans="2:2" x14ac:dyDescent="0.3">
      <c r="B236" s="12"/>
    </row>
    <row r="237" spans="2:2" x14ac:dyDescent="0.3">
      <c r="B237" s="12"/>
    </row>
    <row r="238" spans="2:2" x14ac:dyDescent="0.3">
      <c r="B238" s="12"/>
    </row>
    <row r="239" spans="2:2" x14ac:dyDescent="0.3">
      <c r="B239" s="12"/>
    </row>
    <row r="240" spans="2:2" x14ac:dyDescent="0.3">
      <c r="B240" s="12"/>
    </row>
    <row r="241" spans="2:2" x14ac:dyDescent="0.3">
      <c r="B241" s="12"/>
    </row>
    <row r="242" spans="2:2" x14ac:dyDescent="0.3">
      <c r="B242" s="12"/>
    </row>
    <row r="243" spans="2:2" x14ac:dyDescent="0.3">
      <c r="B243" s="12"/>
    </row>
    <row r="244" spans="2:2" x14ac:dyDescent="0.3">
      <c r="B244" s="12"/>
    </row>
    <row r="245" spans="2:2" x14ac:dyDescent="0.3">
      <c r="B245" s="12"/>
    </row>
    <row r="246" spans="2:2" x14ac:dyDescent="0.3">
      <c r="B246" s="12"/>
    </row>
    <row r="247" spans="2:2" x14ac:dyDescent="0.3">
      <c r="B247" s="12"/>
    </row>
    <row r="248" spans="2:2" x14ac:dyDescent="0.3">
      <c r="B248" s="12"/>
    </row>
    <row r="249" spans="2:2" x14ac:dyDescent="0.3">
      <c r="B249" s="12"/>
    </row>
    <row r="250" spans="2:2" x14ac:dyDescent="0.3">
      <c r="B250" s="12"/>
    </row>
    <row r="251" spans="2:2" x14ac:dyDescent="0.3">
      <c r="B251" s="12"/>
    </row>
    <row r="252" spans="2:2" x14ac:dyDescent="0.3">
      <c r="B252" s="12"/>
    </row>
    <row r="253" spans="2:2" x14ac:dyDescent="0.3">
      <c r="B253" s="12"/>
    </row>
    <row r="254" spans="2:2" x14ac:dyDescent="0.3">
      <c r="B254" s="12"/>
    </row>
    <row r="255" spans="2:2" x14ac:dyDescent="0.3">
      <c r="B255" s="12"/>
    </row>
    <row r="256" spans="2:2" x14ac:dyDescent="0.3">
      <c r="B256" s="12"/>
    </row>
    <row r="257" spans="2:2" x14ac:dyDescent="0.3">
      <c r="B257" s="12"/>
    </row>
    <row r="258" spans="2:2" x14ac:dyDescent="0.3">
      <c r="B258" s="12"/>
    </row>
    <row r="259" spans="2:2" x14ac:dyDescent="0.3">
      <c r="B259" s="12"/>
    </row>
    <row r="260" spans="2:2" x14ac:dyDescent="0.3">
      <c r="B260" s="12"/>
    </row>
    <row r="261" spans="2:2" x14ac:dyDescent="0.3">
      <c r="B261" s="12"/>
    </row>
    <row r="262" spans="2:2" x14ac:dyDescent="0.3">
      <c r="B262" s="12"/>
    </row>
    <row r="263" spans="2:2" x14ac:dyDescent="0.3">
      <c r="B263" s="12"/>
    </row>
    <row r="264" spans="2:2" x14ac:dyDescent="0.3">
      <c r="B264" s="12"/>
    </row>
    <row r="265" spans="2:2" x14ac:dyDescent="0.3">
      <c r="B265" s="12"/>
    </row>
    <row r="266" spans="2:2" x14ac:dyDescent="0.3">
      <c r="B266" s="12"/>
    </row>
    <row r="267" spans="2:2" x14ac:dyDescent="0.3">
      <c r="B267" s="12"/>
    </row>
    <row r="268" spans="2:2" x14ac:dyDescent="0.3">
      <c r="B268" s="12"/>
    </row>
    <row r="269" spans="2:2" x14ac:dyDescent="0.3">
      <c r="B269" s="12"/>
    </row>
    <row r="270" spans="2:2" x14ac:dyDescent="0.3">
      <c r="B270" s="12"/>
    </row>
    <row r="271" spans="2:2" x14ac:dyDescent="0.3">
      <c r="B271" s="12"/>
    </row>
    <row r="272" spans="2:2" x14ac:dyDescent="0.3">
      <c r="B272" s="12"/>
    </row>
    <row r="273" spans="2:2" x14ac:dyDescent="0.3">
      <c r="B273" s="12"/>
    </row>
    <row r="274" spans="2:2" x14ac:dyDescent="0.3">
      <c r="B274" s="12"/>
    </row>
    <row r="275" spans="2:2" x14ac:dyDescent="0.3">
      <c r="B275" s="12"/>
    </row>
    <row r="276" spans="2:2" x14ac:dyDescent="0.3">
      <c r="B276" s="12"/>
    </row>
    <row r="277" spans="2:2" x14ac:dyDescent="0.3">
      <c r="B277" s="12"/>
    </row>
    <row r="278" spans="2:2" x14ac:dyDescent="0.3">
      <c r="B278" s="12"/>
    </row>
    <row r="279" spans="2:2" x14ac:dyDescent="0.3">
      <c r="B279" s="12"/>
    </row>
    <row r="280" spans="2:2" x14ac:dyDescent="0.3">
      <c r="B280" s="12"/>
    </row>
    <row r="281" spans="2:2" x14ac:dyDescent="0.3">
      <c r="B281" s="12"/>
    </row>
    <row r="282" spans="2:2" x14ac:dyDescent="0.3">
      <c r="B282" s="12"/>
    </row>
    <row r="283" spans="2:2" x14ac:dyDescent="0.3">
      <c r="B283" s="12"/>
    </row>
    <row r="284" spans="2:2" x14ac:dyDescent="0.3">
      <c r="B284" s="12"/>
    </row>
    <row r="285" spans="2:2" x14ac:dyDescent="0.3">
      <c r="B285" s="12"/>
    </row>
    <row r="286" spans="2:2" x14ac:dyDescent="0.3">
      <c r="B286" s="12"/>
    </row>
    <row r="287" spans="2:2" x14ac:dyDescent="0.3">
      <c r="B287" s="12"/>
    </row>
    <row r="288" spans="2:2" x14ac:dyDescent="0.3">
      <c r="B288" s="12"/>
    </row>
    <row r="289" spans="2:2" x14ac:dyDescent="0.3">
      <c r="B289" s="12"/>
    </row>
    <row r="290" spans="2:2" x14ac:dyDescent="0.3">
      <c r="B290" s="12"/>
    </row>
    <row r="291" spans="2:2" x14ac:dyDescent="0.3">
      <c r="B291" s="12"/>
    </row>
    <row r="292" spans="2:2" x14ac:dyDescent="0.3">
      <c r="B292" s="12"/>
    </row>
    <row r="293" spans="2:2" x14ac:dyDescent="0.3">
      <c r="B293" s="12"/>
    </row>
    <row r="294" spans="2:2" x14ac:dyDescent="0.3">
      <c r="B294" s="12"/>
    </row>
    <row r="295" spans="2:2" x14ac:dyDescent="0.3">
      <c r="B295" s="12"/>
    </row>
    <row r="296" spans="2:2" x14ac:dyDescent="0.3">
      <c r="B296" s="12"/>
    </row>
    <row r="297" spans="2:2" x14ac:dyDescent="0.3">
      <c r="B297" s="12"/>
    </row>
    <row r="298" spans="2:2" x14ac:dyDescent="0.3">
      <c r="B298" s="12"/>
    </row>
    <row r="299" spans="2:2" x14ac:dyDescent="0.3">
      <c r="B299" s="12"/>
    </row>
    <row r="300" spans="2:2" x14ac:dyDescent="0.3">
      <c r="B300" s="12"/>
    </row>
    <row r="301" spans="2:2" x14ac:dyDescent="0.3">
      <c r="B301" s="12"/>
    </row>
    <row r="302" spans="2:2" x14ac:dyDescent="0.3">
      <c r="B302" s="12"/>
    </row>
    <row r="303" spans="2:2" x14ac:dyDescent="0.3">
      <c r="B303" s="12"/>
    </row>
    <row r="304" spans="2:2" x14ac:dyDescent="0.3">
      <c r="B304" s="12"/>
    </row>
    <row r="305" spans="2:2" x14ac:dyDescent="0.3">
      <c r="B305" s="12"/>
    </row>
    <row r="306" spans="2:2" x14ac:dyDescent="0.3">
      <c r="B306" s="12"/>
    </row>
    <row r="307" spans="2:2" x14ac:dyDescent="0.3">
      <c r="B307" s="12"/>
    </row>
    <row r="308" spans="2:2" x14ac:dyDescent="0.3">
      <c r="B308" s="12"/>
    </row>
    <row r="309" spans="2:2" x14ac:dyDescent="0.3">
      <c r="B309" s="12"/>
    </row>
    <row r="310" spans="2:2" x14ac:dyDescent="0.3">
      <c r="B310" s="12"/>
    </row>
    <row r="311" spans="2:2" x14ac:dyDescent="0.3">
      <c r="B311" s="12"/>
    </row>
    <row r="312" spans="2:2" x14ac:dyDescent="0.3">
      <c r="B312" s="12"/>
    </row>
    <row r="313" spans="2:2" x14ac:dyDescent="0.3">
      <c r="B313" s="12"/>
    </row>
    <row r="314" spans="2:2" x14ac:dyDescent="0.3">
      <c r="B314" s="12"/>
    </row>
    <row r="315" spans="2:2" x14ac:dyDescent="0.3">
      <c r="B315" s="12"/>
    </row>
    <row r="316" spans="2:2" x14ac:dyDescent="0.3">
      <c r="B316" s="12"/>
    </row>
    <row r="317" spans="2:2" x14ac:dyDescent="0.3">
      <c r="B317" s="12"/>
    </row>
    <row r="318" spans="2:2" x14ac:dyDescent="0.3">
      <c r="B318" s="12"/>
    </row>
    <row r="319" spans="2:2" x14ac:dyDescent="0.3">
      <c r="B319" s="12"/>
    </row>
    <row r="320" spans="2:2" x14ac:dyDescent="0.3">
      <c r="B320" s="12"/>
    </row>
    <row r="321" spans="2:2" x14ac:dyDescent="0.3">
      <c r="B321" s="12"/>
    </row>
    <row r="322" spans="2:2" x14ac:dyDescent="0.3">
      <c r="B322" s="12"/>
    </row>
    <row r="323" spans="2:2" x14ac:dyDescent="0.3">
      <c r="B323" s="12"/>
    </row>
    <row r="324" spans="2:2" x14ac:dyDescent="0.3">
      <c r="B324" s="12"/>
    </row>
    <row r="325" spans="2:2" x14ac:dyDescent="0.3">
      <c r="B325" s="12"/>
    </row>
    <row r="326" spans="2:2" x14ac:dyDescent="0.3">
      <c r="B326" s="12"/>
    </row>
    <row r="327" spans="2:2" x14ac:dyDescent="0.3">
      <c r="B327" s="12"/>
    </row>
    <row r="328" spans="2:2" x14ac:dyDescent="0.3">
      <c r="B328" s="12"/>
    </row>
    <row r="329" spans="2:2" x14ac:dyDescent="0.3">
      <c r="B329" s="12"/>
    </row>
    <row r="330" spans="2:2" x14ac:dyDescent="0.3">
      <c r="B330" s="12"/>
    </row>
    <row r="331" spans="2:2" x14ac:dyDescent="0.3">
      <c r="B331" s="12"/>
    </row>
    <row r="332" spans="2:2" x14ac:dyDescent="0.3">
      <c r="B332" s="12"/>
    </row>
    <row r="333" spans="2:2" x14ac:dyDescent="0.3">
      <c r="B333" s="12"/>
    </row>
    <row r="334" spans="2:2" x14ac:dyDescent="0.3">
      <c r="B334" s="12"/>
    </row>
    <row r="335" spans="2:2" x14ac:dyDescent="0.3">
      <c r="B335" s="12"/>
    </row>
    <row r="336" spans="2:2" x14ac:dyDescent="0.3">
      <c r="B336" s="12"/>
    </row>
    <row r="337" spans="2:2" x14ac:dyDescent="0.3">
      <c r="B337" s="12"/>
    </row>
    <row r="338" spans="2:2" x14ac:dyDescent="0.3">
      <c r="B338" s="12"/>
    </row>
    <row r="339" spans="2:2" x14ac:dyDescent="0.3">
      <c r="B339" s="12"/>
    </row>
    <row r="340" spans="2:2" x14ac:dyDescent="0.3">
      <c r="B340" s="12"/>
    </row>
    <row r="341" spans="2:2" x14ac:dyDescent="0.3">
      <c r="B341" s="12"/>
    </row>
    <row r="342" spans="2:2" x14ac:dyDescent="0.3">
      <c r="B342" s="12"/>
    </row>
    <row r="343" spans="2:2" x14ac:dyDescent="0.3">
      <c r="B343" s="12"/>
    </row>
    <row r="344" spans="2:2" x14ac:dyDescent="0.3">
      <c r="B344" s="12"/>
    </row>
    <row r="345" spans="2:2" x14ac:dyDescent="0.3">
      <c r="B345" s="12"/>
    </row>
    <row r="346" spans="2:2" x14ac:dyDescent="0.3">
      <c r="B346" s="12"/>
    </row>
    <row r="347" spans="2:2" x14ac:dyDescent="0.3">
      <c r="B347" s="12"/>
    </row>
    <row r="348" spans="2:2" x14ac:dyDescent="0.3">
      <c r="B348" s="12"/>
    </row>
    <row r="349" spans="2:2" x14ac:dyDescent="0.3">
      <c r="B349" s="12"/>
    </row>
    <row r="350" spans="2:2" x14ac:dyDescent="0.3">
      <c r="B350" s="12"/>
    </row>
    <row r="351" spans="2:2" x14ac:dyDescent="0.3">
      <c r="B351" s="12"/>
    </row>
    <row r="352" spans="2:2" x14ac:dyDescent="0.3">
      <c r="B352" s="12"/>
    </row>
    <row r="353" spans="2:2" x14ac:dyDescent="0.3">
      <c r="B353" s="12"/>
    </row>
    <row r="354" spans="2:2" x14ac:dyDescent="0.3">
      <c r="B354" s="12"/>
    </row>
    <row r="355" spans="2:2" x14ac:dyDescent="0.3">
      <c r="B355" s="12"/>
    </row>
    <row r="356" spans="2:2" x14ac:dyDescent="0.3">
      <c r="B356" s="12"/>
    </row>
    <row r="357" spans="2:2" x14ac:dyDescent="0.3">
      <c r="B357" s="12"/>
    </row>
    <row r="358" spans="2:2" x14ac:dyDescent="0.3">
      <c r="B358" s="12"/>
    </row>
    <row r="359" spans="2:2" x14ac:dyDescent="0.3">
      <c r="B359" s="12"/>
    </row>
    <row r="360" spans="2:2" x14ac:dyDescent="0.3">
      <c r="B360" s="12"/>
    </row>
    <row r="361" spans="2:2" x14ac:dyDescent="0.3">
      <c r="B361" s="12"/>
    </row>
    <row r="362" spans="2:2" x14ac:dyDescent="0.3">
      <c r="B362" s="12"/>
    </row>
    <row r="363" spans="2:2" x14ac:dyDescent="0.3">
      <c r="B363" s="12"/>
    </row>
    <row r="364" spans="2:2" x14ac:dyDescent="0.3">
      <c r="B364" s="12"/>
    </row>
    <row r="365" spans="2:2" x14ac:dyDescent="0.3">
      <c r="B365" s="12"/>
    </row>
    <row r="366" spans="2:2" x14ac:dyDescent="0.3">
      <c r="B366" s="12"/>
    </row>
    <row r="367" spans="2:2" x14ac:dyDescent="0.3">
      <c r="B367" s="12"/>
    </row>
    <row r="368" spans="2:2" x14ac:dyDescent="0.3">
      <c r="B368" s="12"/>
    </row>
    <row r="369" spans="2:2" x14ac:dyDescent="0.3">
      <c r="B369" s="12"/>
    </row>
    <row r="370" spans="2:2" x14ac:dyDescent="0.3">
      <c r="B370" s="12"/>
    </row>
    <row r="371" spans="2:2" x14ac:dyDescent="0.3">
      <c r="B371" s="12"/>
    </row>
    <row r="372" spans="2:2" x14ac:dyDescent="0.3">
      <c r="B372" s="12"/>
    </row>
    <row r="373" spans="2:2" x14ac:dyDescent="0.3">
      <c r="B373" s="12"/>
    </row>
    <row r="374" spans="2:2" x14ac:dyDescent="0.3">
      <c r="B374" s="12"/>
    </row>
    <row r="375" spans="2:2" x14ac:dyDescent="0.3">
      <c r="B375" s="12"/>
    </row>
    <row r="376" spans="2:2" x14ac:dyDescent="0.3">
      <c r="B376" s="12"/>
    </row>
    <row r="377" spans="2:2" x14ac:dyDescent="0.3">
      <c r="B377" s="12"/>
    </row>
    <row r="378" spans="2:2" x14ac:dyDescent="0.3">
      <c r="B378" s="12"/>
    </row>
    <row r="379" spans="2:2" x14ac:dyDescent="0.3">
      <c r="B379" s="12"/>
    </row>
    <row r="380" spans="2:2" x14ac:dyDescent="0.3">
      <c r="B380" s="12"/>
    </row>
    <row r="381" spans="2:2" x14ac:dyDescent="0.3">
      <c r="B381" s="12"/>
    </row>
    <row r="382" spans="2:2" x14ac:dyDescent="0.3">
      <c r="B382" s="12"/>
    </row>
    <row r="383" spans="2:2" x14ac:dyDescent="0.3">
      <c r="B383" s="12"/>
    </row>
    <row r="384" spans="2:2" x14ac:dyDescent="0.3">
      <c r="B384" s="12"/>
    </row>
    <row r="385" spans="2:2" x14ac:dyDescent="0.3">
      <c r="B385" s="12"/>
    </row>
    <row r="386" spans="2:2" x14ac:dyDescent="0.3">
      <c r="B386" s="12"/>
    </row>
    <row r="387" spans="2:2" x14ac:dyDescent="0.3">
      <c r="B387" s="12"/>
    </row>
    <row r="388" spans="2:2" x14ac:dyDescent="0.3">
      <c r="B388" s="12"/>
    </row>
    <row r="389" spans="2:2" x14ac:dyDescent="0.3">
      <c r="B389" s="12"/>
    </row>
    <row r="390" spans="2:2" x14ac:dyDescent="0.3">
      <c r="B390" s="12"/>
    </row>
    <row r="391" spans="2:2" x14ac:dyDescent="0.3">
      <c r="B391" s="12"/>
    </row>
    <row r="392" spans="2:2" x14ac:dyDescent="0.3">
      <c r="B392" s="12"/>
    </row>
    <row r="393" spans="2:2" x14ac:dyDescent="0.3">
      <c r="B393" s="12"/>
    </row>
    <row r="394" spans="2:2" x14ac:dyDescent="0.3">
      <c r="B394" s="12"/>
    </row>
    <row r="395" spans="2:2" x14ac:dyDescent="0.3">
      <c r="B395" s="12"/>
    </row>
    <row r="396" spans="2:2" x14ac:dyDescent="0.3">
      <c r="B396" s="12"/>
    </row>
    <row r="397" spans="2:2" x14ac:dyDescent="0.3">
      <c r="B397" s="12"/>
    </row>
    <row r="398" spans="2:2" x14ac:dyDescent="0.3">
      <c r="B398" s="12"/>
    </row>
    <row r="399" spans="2:2" x14ac:dyDescent="0.3">
      <c r="B399" s="12"/>
    </row>
    <row r="400" spans="2:2" x14ac:dyDescent="0.3">
      <c r="B400" s="12"/>
    </row>
    <row r="401" spans="2:2" x14ac:dyDescent="0.3">
      <c r="B401" s="12"/>
    </row>
    <row r="402" spans="2:2" x14ac:dyDescent="0.3">
      <c r="B402" s="12"/>
    </row>
    <row r="403" spans="2:2" x14ac:dyDescent="0.3">
      <c r="B403" s="12"/>
    </row>
    <row r="404" spans="2:2" x14ac:dyDescent="0.3">
      <c r="B404" s="12"/>
    </row>
    <row r="405" spans="2:2" x14ac:dyDescent="0.3">
      <c r="B405" s="12"/>
    </row>
    <row r="406" spans="2:2" x14ac:dyDescent="0.3">
      <c r="B406" s="12"/>
    </row>
    <row r="407" spans="2:2" x14ac:dyDescent="0.3">
      <c r="B407" s="12"/>
    </row>
    <row r="408" spans="2:2" x14ac:dyDescent="0.3">
      <c r="B408" s="12"/>
    </row>
    <row r="409" spans="2:2" x14ac:dyDescent="0.3">
      <c r="B409" s="12"/>
    </row>
    <row r="410" spans="2:2" x14ac:dyDescent="0.3">
      <c r="B410" s="12"/>
    </row>
    <row r="411" spans="2:2" x14ac:dyDescent="0.3">
      <c r="B411" s="12"/>
    </row>
    <row r="412" spans="2:2" x14ac:dyDescent="0.3">
      <c r="B412" s="12"/>
    </row>
    <row r="413" spans="2:2" x14ac:dyDescent="0.3">
      <c r="B413" s="12"/>
    </row>
    <row r="414" spans="2:2" x14ac:dyDescent="0.3">
      <c r="B414" s="12"/>
    </row>
    <row r="415" spans="2:2" x14ac:dyDescent="0.3">
      <c r="B415" s="12"/>
    </row>
    <row r="416" spans="2:2" x14ac:dyDescent="0.3">
      <c r="B416" s="12"/>
    </row>
    <row r="417" spans="2:2" x14ac:dyDescent="0.3">
      <c r="B417" s="12"/>
    </row>
    <row r="418" spans="2:2" x14ac:dyDescent="0.3">
      <c r="B418" s="12"/>
    </row>
    <row r="419" spans="2:2" x14ac:dyDescent="0.3">
      <c r="B419" s="12"/>
    </row>
    <row r="420" spans="2:2" x14ac:dyDescent="0.3">
      <c r="B420" s="12"/>
    </row>
    <row r="421" spans="2:2" x14ac:dyDescent="0.3">
      <c r="B421" s="12"/>
    </row>
    <row r="422" spans="2:2" x14ac:dyDescent="0.3">
      <c r="B422" s="12"/>
    </row>
    <row r="423" spans="2:2" x14ac:dyDescent="0.3">
      <c r="B423" s="12"/>
    </row>
    <row r="424" spans="2:2" x14ac:dyDescent="0.3">
      <c r="B424" s="12"/>
    </row>
    <row r="425" spans="2:2" x14ac:dyDescent="0.3">
      <c r="B425" s="12"/>
    </row>
    <row r="426" spans="2:2" x14ac:dyDescent="0.3">
      <c r="B426" s="12"/>
    </row>
    <row r="427" spans="2:2" x14ac:dyDescent="0.3">
      <c r="B427" s="12"/>
    </row>
    <row r="428" spans="2:2" x14ac:dyDescent="0.3">
      <c r="B428" s="12"/>
    </row>
    <row r="429" spans="2:2" x14ac:dyDescent="0.3">
      <c r="B429" s="12"/>
    </row>
    <row r="430" spans="2:2" x14ac:dyDescent="0.3">
      <c r="B430" s="12"/>
    </row>
    <row r="431" spans="2:2" x14ac:dyDescent="0.3">
      <c r="B431" s="12"/>
    </row>
    <row r="432" spans="2:2" x14ac:dyDescent="0.3">
      <c r="B432" s="12"/>
    </row>
    <row r="433" spans="2:2" x14ac:dyDescent="0.3">
      <c r="B433" s="12"/>
    </row>
    <row r="434" spans="2:2" x14ac:dyDescent="0.3">
      <c r="B434" s="12"/>
    </row>
    <row r="435" spans="2:2" x14ac:dyDescent="0.3">
      <c r="B435" s="12"/>
    </row>
    <row r="436" spans="2:2" x14ac:dyDescent="0.3">
      <c r="B436" s="12"/>
    </row>
    <row r="437" spans="2:2" x14ac:dyDescent="0.3">
      <c r="B437" s="12"/>
    </row>
    <row r="438" spans="2:2" x14ac:dyDescent="0.3">
      <c r="B438" s="12"/>
    </row>
    <row r="439" spans="2:2" x14ac:dyDescent="0.3">
      <c r="B439" s="12"/>
    </row>
    <row r="440" spans="2:2" x14ac:dyDescent="0.3">
      <c r="B440" s="12"/>
    </row>
    <row r="441" spans="2:2" x14ac:dyDescent="0.3">
      <c r="B441" s="12"/>
    </row>
    <row r="442" spans="2:2" x14ac:dyDescent="0.3">
      <c r="B442" s="12"/>
    </row>
    <row r="443" spans="2:2" x14ac:dyDescent="0.3">
      <c r="B443" s="12"/>
    </row>
    <row r="444" spans="2:2" x14ac:dyDescent="0.3">
      <c r="B444" s="12"/>
    </row>
    <row r="445" spans="2:2" x14ac:dyDescent="0.3">
      <c r="B445" s="12"/>
    </row>
    <row r="446" spans="2:2" x14ac:dyDescent="0.3">
      <c r="B446" s="12"/>
    </row>
    <row r="447" spans="2:2" x14ac:dyDescent="0.3">
      <c r="B447" s="12"/>
    </row>
    <row r="448" spans="2:2" x14ac:dyDescent="0.3">
      <c r="B448" s="12"/>
    </row>
    <row r="449" spans="2:2" x14ac:dyDescent="0.3">
      <c r="B449" s="12"/>
    </row>
    <row r="450" spans="2:2" x14ac:dyDescent="0.3">
      <c r="B450" s="12"/>
    </row>
    <row r="451" spans="2:2" x14ac:dyDescent="0.3">
      <c r="B451" s="12"/>
    </row>
    <row r="452" spans="2:2" x14ac:dyDescent="0.3">
      <c r="B452" s="12"/>
    </row>
    <row r="453" spans="2:2" x14ac:dyDescent="0.3">
      <c r="B453" s="12"/>
    </row>
    <row r="454" spans="2:2" x14ac:dyDescent="0.3">
      <c r="B454" s="12"/>
    </row>
    <row r="455" spans="2:2" x14ac:dyDescent="0.3">
      <c r="B455" s="12"/>
    </row>
    <row r="456" spans="2:2" x14ac:dyDescent="0.3">
      <c r="B456" s="12"/>
    </row>
    <row r="457" spans="2:2" x14ac:dyDescent="0.3">
      <c r="B457" s="12"/>
    </row>
    <row r="458" spans="2:2" x14ac:dyDescent="0.3">
      <c r="B458" s="12"/>
    </row>
    <row r="459" spans="2:2" x14ac:dyDescent="0.3">
      <c r="B459" s="12"/>
    </row>
    <row r="460" spans="2:2" x14ac:dyDescent="0.3">
      <c r="B460" s="12"/>
    </row>
    <row r="461" spans="2:2" x14ac:dyDescent="0.3">
      <c r="B461" s="12"/>
    </row>
    <row r="462" spans="2:2" x14ac:dyDescent="0.3">
      <c r="B462" s="12"/>
    </row>
    <row r="463" spans="2:2" x14ac:dyDescent="0.3">
      <c r="B463" s="12"/>
    </row>
    <row r="464" spans="2:2" x14ac:dyDescent="0.3">
      <c r="B464" s="12"/>
    </row>
    <row r="465" spans="2:2" x14ac:dyDescent="0.3">
      <c r="B465" s="12"/>
    </row>
    <row r="466" spans="2:2" x14ac:dyDescent="0.3">
      <c r="B466" s="12"/>
    </row>
    <row r="467" spans="2:2" x14ac:dyDescent="0.3">
      <c r="B467" s="12"/>
    </row>
    <row r="468" spans="2:2" x14ac:dyDescent="0.3">
      <c r="B468" s="12"/>
    </row>
    <row r="469" spans="2:2" x14ac:dyDescent="0.3">
      <c r="B469" s="12"/>
    </row>
    <row r="470" spans="2:2" x14ac:dyDescent="0.3">
      <c r="B470" s="12"/>
    </row>
    <row r="471" spans="2:2" x14ac:dyDescent="0.3">
      <c r="B471" s="12"/>
    </row>
    <row r="472" spans="2:2" x14ac:dyDescent="0.3">
      <c r="B472" s="12"/>
    </row>
    <row r="473" spans="2:2" x14ac:dyDescent="0.3">
      <c r="B473" s="12"/>
    </row>
    <row r="474" spans="2:2" x14ac:dyDescent="0.3">
      <c r="B474" s="12"/>
    </row>
    <row r="475" spans="2:2" x14ac:dyDescent="0.3">
      <c r="B475" s="12"/>
    </row>
    <row r="476" spans="2:2" x14ac:dyDescent="0.3">
      <c r="B476" s="12"/>
    </row>
    <row r="477" spans="2:2" x14ac:dyDescent="0.3">
      <c r="B477" s="12"/>
    </row>
    <row r="478" spans="2:2" x14ac:dyDescent="0.3">
      <c r="B478" s="12"/>
    </row>
    <row r="479" spans="2:2" x14ac:dyDescent="0.3">
      <c r="B479" s="12"/>
    </row>
    <row r="480" spans="2:2" x14ac:dyDescent="0.3">
      <c r="B480" s="12"/>
    </row>
    <row r="481" spans="2:2" x14ac:dyDescent="0.3">
      <c r="B481" s="12"/>
    </row>
    <row r="482" spans="2:2" x14ac:dyDescent="0.3">
      <c r="B482" s="12"/>
    </row>
    <row r="483" spans="2:2" x14ac:dyDescent="0.3">
      <c r="B483" s="12"/>
    </row>
    <row r="484" spans="2:2" x14ac:dyDescent="0.3">
      <c r="B484" s="12"/>
    </row>
    <row r="485" spans="2:2" x14ac:dyDescent="0.3">
      <c r="B485" s="12"/>
    </row>
    <row r="486" spans="2:2" x14ac:dyDescent="0.3">
      <c r="B486" s="12"/>
    </row>
    <row r="487" spans="2:2" x14ac:dyDescent="0.3">
      <c r="B487" s="12"/>
    </row>
    <row r="488" spans="2:2" x14ac:dyDescent="0.3">
      <c r="B488" s="12"/>
    </row>
    <row r="489" spans="2:2" x14ac:dyDescent="0.3">
      <c r="B489" s="12"/>
    </row>
    <row r="490" spans="2:2" x14ac:dyDescent="0.3">
      <c r="B490" s="12"/>
    </row>
    <row r="491" spans="2:2" x14ac:dyDescent="0.3">
      <c r="B491" s="12"/>
    </row>
    <row r="492" spans="2:2" x14ac:dyDescent="0.3">
      <c r="B492" s="12"/>
    </row>
    <row r="493" spans="2:2" x14ac:dyDescent="0.3">
      <c r="B493" s="12"/>
    </row>
    <row r="494" spans="2:2" x14ac:dyDescent="0.3">
      <c r="B494" s="12"/>
    </row>
    <row r="495" spans="2:2" x14ac:dyDescent="0.3">
      <c r="B495" s="12"/>
    </row>
    <row r="496" spans="2:2" x14ac:dyDescent="0.3">
      <c r="B496" s="12"/>
    </row>
    <row r="497" spans="2:2" x14ac:dyDescent="0.3">
      <c r="B497" s="12"/>
    </row>
    <row r="498" spans="2:2" x14ac:dyDescent="0.3">
      <c r="B498" s="12"/>
    </row>
    <row r="499" spans="2:2" x14ac:dyDescent="0.3">
      <c r="B499" s="12"/>
    </row>
    <row r="500" spans="2:2" x14ac:dyDescent="0.3">
      <c r="B500" s="12"/>
    </row>
    <row r="501" spans="2:2" x14ac:dyDescent="0.3">
      <c r="B501" s="12"/>
    </row>
    <row r="502" spans="2:2" x14ac:dyDescent="0.3">
      <c r="B502" s="12"/>
    </row>
    <row r="503" spans="2:2" x14ac:dyDescent="0.3">
      <c r="B503" s="12"/>
    </row>
    <row r="504" spans="2:2" x14ac:dyDescent="0.3">
      <c r="B504" s="12"/>
    </row>
    <row r="505" spans="2:2" x14ac:dyDescent="0.3">
      <c r="B505" s="12"/>
    </row>
    <row r="506" spans="2:2" x14ac:dyDescent="0.3">
      <c r="B506" s="12"/>
    </row>
    <row r="507" spans="2:2" x14ac:dyDescent="0.3">
      <c r="B507" s="12"/>
    </row>
    <row r="508" spans="2:2" x14ac:dyDescent="0.3">
      <c r="B508" s="12"/>
    </row>
    <row r="509" spans="2:2" x14ac:dyDescent="0.3">
      <c r="B509" s="12"/>
    </row>
    <row r="510" spans="2:2" x14ac:dyDescent="0.3">
      <c r="B510" s="12"/>
    </row>
    <row r="511" spans="2:2" x14ac:dyDescent="0.3">
      <c r="B511" s="12"/>
    </row>
    <row r="512" spans="2:2" x14ac:dyDescent="0.3">
      <c r="B512" s="12"/>
    </row>
    <row r="513" spans="2:2" x14ac:dyDescent="0.3">
      <c r="B513" s="12"/>
    </row>
    <row r="514" spans="2:2" x14ac:dyDescent="0.3">
      <c r="B514" s="12"/>
    </row>
    <row r="515" spans="2:2" x14ac:dyDescent="0.3">
      <c r="B515" s="12"/>
    </row>
    <row r="516" spans="2:2" x14ac:dyDescent="0.3">
      <c r="B516" s="12"/>
    </row>
    <row r="517" spans="2:2" x14ac:dyDescent="0.3">
      <c r="B517" s="12"/>
    </row>
    <row r="518" spans="2:2" x14ac:dyDescent="0.3">
      <c r="B518" s="12"/>
    </row>
    <row r="519" spans="2:2" x14ac:dyDescent="0.3">
      <c r="B519" s="12"/>
    </row>
    <row r="520" spans="2:2" x14ac:dyDescent="0.3">
      <c r="B520" s="12"/>
    </row>
    <row r="521" spans="2:2" x14ac:dyDescent="0.3">
      <c r="B521" s="12"/>
    </row>
    <row r="522" spans="2:2" x14ac:dyDescent="0.3">
      <c r="B522" s="12"/>
    </row>
    <row r="523" spans="2:2" x14ac:dyDescent="0.3">
      <c r="B523" s="12"/>
    </row>
    <row r="524" spans="2:2" x14ac:dyDescent="0.3">
      <c r="B524" s="12"/>
    </row>
    <row r="525" spans="2:2" x14ac:dyDescent="0.3">
      <c r="B525" s="12"/>
    </row>
    <row r="526" spans="2:2" x14ac:dyDescent="0.3">
      <c r="B526" s="12"/>
    </row>
    <row r="527" spans="2:2" x14ac:dyDescent="0.3">
      <c r="B527" s="12"/>
    </row>
    <row r="528" spans="2:2" x14ac:dyDescent="0.3">
      <c r="B528" s="12"/>
    </row>
    <row r="529" spans="2:2" x14ac:dyDescent="0.3">
      <c r="B529" s="12"/>
    </row>
    <row r="530" spans="2:2" x14ac:dyDescent="0.3">
      <c r="B530" s="12"/>
    </row>
    <row r="531" spans="2:2" x14ac:dyDescent="0.3">
      <c r="B531" s="12"/>
    </row>
    <row r="532" spans="2:2" x14ac:dyDescent="0.3">
      <c r="B532" s="12"/>
    </row>
    <row r="533" spans="2:2" x14ac:dyDescent="0.3">
      <c r="B533" s="12"/>
    </row>
    <row r="534" spans="2:2" x14ac:dyDescent="0.3">
      <c r="B534" s="12"/>
    </row>
    <row r="535" spans="2:2" x14ac:dyDescent="0.3">
      <c r="B535" s="12"/>
    </row>
    <row r="536" spans="2:2" x14ac:dyDescent="0.3">
      <c r="B536" s="12"/>
    </row>
    <row r="537" spans="2:2" x14ac:dyDescent="0.3">
      <c r="B537" s="12"/>
    </row>
    <row r="538" spans="2:2" x14ac:dyDescent="0.3">
      <c r="B538" s="12"/>
    </row>
    <row r="539" spans="2:2" x14ac:dyDescent="0.3">
      <c r="B539" s="12"/>
    </row>
    <row r="540" spans="2:2" x14ac:dyDescent="0.3">
      <c r="B540" s="12"/>
    </row>
    <row r="541" spans="2:2" x14ac:dyDescent="0.3">
      <c r="B541" s="12"/>
    </row>
    <row r="542" spans="2:2" x14ac:dyDescent="0.3">
      <c r="B542" s="12"/>
    </row>
    <row r="543" spans="2:2" x14ac:dyDescent="0.3">
      <c r="B543" s="12"/>
    </row>
    <row r="544" spans="2:2" x14ac:dyDescent="0.3">
      <c r="B544" s="12"/>
    </row>
    <row r="545" spans="2:2" x14ac:dyDescent="0.3">
      <c r="B545" s="12"/>
    </row>
    <row r="546" spans="2:2" x14ac:dyDescent="0.3">
      <c r="B546" s="12"/>
    </row>
    <row r="547" spans="2:2" x14ac:dyDescent="0.3">
      <c r="B547" s="12"/>
    </row>
    <row r="548" spans="2:2" x14ac:dyDescent="0.3">
      <c r="B548" s="12"/>
    </row>
    <row r="549" spans="2:2" x14ac:dyDescent="0.3">
      <c r="B549" s="12"/>
    </row>
    <row r="550" spans="2:2" x14ac:dyDescent="0.3">
      <c r="B550" s="12"/>
    </row>
    <row r="551" spans="2:2" x14ac:dyDescent="0.3">
      <c r="B551" s="12"/>
    </row>
    <row r="552" spans="2:2" x14ac:dyDescent="0.3">
      <c r="B552" s="12"/>
    </row>
    <row r="553" spans="2:2" x14ac:dyDescent="0.3">
      <c r="B553" s="12"/>
    </row>
    <row r="554" spans="2:2" x14ac:dyDescent="0.3">
      <c r="B554" s="12"/>
    </row>
    <row r="555" spans="2:2" x14ac:dyDescent="0.3">
      <c r="B555" s="12"/>
    </row>
    <row r="556" spans="2:2" x14ac:dyDescent="0.3">
      <c r="B556" s="12"/>
    </row>
    <row r="557" spans="2:2" x14ac:dyDescent="0.3">
      <c r="B557" s="12"/>
    </row>
    <row r="558" spans="2:2" x14ac:dyDescent="0.3">
      <c r="B558" s="12"/>
    </row>
    <row r="559" spans="2:2" x14ac:dyDescent="0.3">
      <c r="B559" s="12"/>
    </row>
    <row r="560" spans="2:2" x14ac:dyDescent="0.3">
      <c r="B560" s="12"/>
    </row>
    <row r="561" spans="2:2" x14ac:dyDescent="0.3">
      <c r="B561" s="12"/>
    </row>
    <row r="562" spans="2:2" x14ac:dyDescent="0.3">
      <c r="B562" s="12"/>
    </row>
    <row r="563" spans="2:2" x14ac:dyDescent="0.3">
      <c r="B563" s="12"/>
    </row>
    <row r="564" spans="2:2" x14ac:dyDescent="0.3">
      <c r="B564" s="12"/>
    </row>
    <row r="565" spans="2:2" x14ac:dyDescent="0.3">
      <c r="B565" s="12"/>
    </row>
    <row r="566" spans="2:2" x14ac:dyDescent="0.3">
      <c r="B566" s="12"/>
    </row>
    <row r="567" spans="2:2" x14ac:dyDescent="0.3">
      <c r="B567" s="12"/>
    </row>
    <row r="568" spans="2:2" x14ac:dyDescent="0.3">
      <c r="B568" s="12"/>
    </row>
    <row r="569" spans="2:2" x14ac:dyDescent="0.3">
      <c r="B569" s="12"/>
    </row>
    <row r="570" spans="2:2" x14ac:dyDescent="0.3">
      <c r="B570" s="12"/>
    </row>
    <row r="571" spans="2:2" x14ac:dyDescent="0.3">
      <c r="B571" s="12"/>
    </row>
    <row r="572" spans="2:2" x14ac:dyDescent="0.3">
      <c r="B572" s="12"/>
    </row>
    <row r="573" spans="2:2" x14ac:dyDescent="0.3">
      <c r="B573" s="12"/>
    </row>
    <row r="574" spans="2:2" x14ac:dyDescent="0.3">
      <c r="B574" s="12"/>
    </row>
    <row r="575" spans="2:2" x14ac:dyDescent="0.3">
      <c r="B575" s="12"/>
    </row>
    <row r="576" spans="2:2" x14ac:dyDescent="0.3">
      <c r="B576" s="12"/>
    </row>
    <row r="577" spans="2:2" x14ac:dyDescent="0.3">
      <c r="B577" s="12"/>
    </row>
    <row r="578" spans="2:2" x14ac:dyDescent="0.3">
      <c r="B578" s="12"/>
    </row>
    <row r="579" spans="2:2" x14ac:dyDescent="0.3">
      <c r="B579" s="12"/>
    </row>
    <row r="580" spans="2:2" x14ac:dyDescent="0.3">
      <c r="B580" s="12"/>
    </row>
    <row r="581" spans="2:2" x14ac:dyDescent="0.3">
      <c r="B581" s="12"/>
    </row>
    <row r="582" spans="2:2" x14ac:dyDescent="0.3">
      <c r="B582" s="12"/>
    </row>
    <row r="583" spans="2:2" x14ac:dyDescent="0.3">
      <c r="B583" s="12"/>
    </row>
    <row r="584" spans="2:2" x14ac:dyDescent="0.3">
      <c r="B584" s="12"/>
    </row>
    <row r="585" spans="2:2" x14ac:dyDescent="0.3">
      <c r="B585" s="12"/>
    </row>
    <row r="586" spans="2:2" x14ac:dyDescent="0.3">
      <c r="B586" s="12"/>
    </row>
    <row r="587" spans="2:2" x14ac:dyDescent="0.3">
      <c r="B587" s="12"/>
    </row>
    <row r="588" spans="2:2" x14ac:dyDescent="0.3">
      <c r="B588" s="12"/>
    </row>
    <row r="589" spans="2:2" x14ac:dyDescent="0.3">
      <c r="B589" s="12"/>
    </row>
    <row r="590" spans="2:2" x14ac:dyDescent="0.3">
      <c r="B590" s="12"/>
    </row>
    <row r="591" spans="2:2" x14ac:dyDescent="0.3">
      <c r="B591" s="12"/>
    </row>
    <row r="592" spans="2:2" x14ac:dyDescent="0.3">
      <c r="B592" s="12"/>
    </row>
    <row r="593" spans="2:2" x14ac:dyDescent="0.3">
      <c r="B593" s="12"/>
    </row>
    <row r="594" spans="2:2" x14ac:dyDescent="0.3">
      <c r="B594" s="12"/>
    </row>
    <row r="595" spans="2:2" x14ac:dyDescent="0.3">
      <c r="B595" s="12"/>
    </row>
    <row r="596" spans="2:2" x14ac:dyDescent="0.3">
      <c r="B596" s="12"/>
    </row>
    <row r="597" spans="2:2" x14ac:dyDescent="0.3">
      <c r="B597" s="12"/>
    </row>
    <row r="598" spans="2:2" x14ac:dyDescent="0.3">
      <c r="B598" s="12"/>
    </row>
    <row r="599" spans="2:2" x14ac:dyDescent="0.3">
      <c r="B599" s="12"/>
    </row>
    <row r="600" spans="2:2" x14ac:dyDescent="0.3">
      <c r="B600" s="12"/>
    </row>
    <row r="601" spans="2:2" x14ac:dyDescent="0.3">
      <c r="B601" s="12"/>
    </row>
    <row r="602" spans="2:2" x14ac:dyDescent="0.3">
      <c r="B602" s="12"/>
    </row>
    <row r="603" spans="2:2" x14ac:dyDescent="0.3">
      <c r="B603" s="12"/>
    </row>
    <row r="604" spans="2:2" x14ac:dyDescent="0.3">
      <c r="B604" s="12"/>
    </row>
    <row r="605" spans="2:2" x14ac:dyDescent="0.3">
      <c r="B605" s="12"/>
    </row>
    <row r="606" spans="2:2" x14ac:dyDescent="0.3">
      <c r="B606" s="12"/>
    </row>
    <row r="607" spans="2:2" x14ac:dyDescent="0.3">
      <c r="B607" s="12"/>
    </row>
    <row r="608" spans="2:2" x14ac:dyDescent="0.3">
      <c r="B608" s="12"/>
    </row>
    <row r="609" spans="2:2" x14ac:dyDescent="0.3">
      <c r="B609" s="12"/>
    </row>
    <row r="610" spans="2:2" x14ac:dyDescent="0.3">
      <c r="B610" s="12"/>
    </row>
    <row r="611" spans="2:2" x14ac:dyDescent="0.3">
      <c r="B611" s="12"/>
    </row>
    <row r="612" spans="2:2" x14ac:dyDescent="0.3">
      <c r="B612" s="12"/>
    </row>
    <row r="613" spans="2:2" x14ac:dyDescent="0.3">
      <c r="B613" s="12"/>
    </row>
    <row r="614" spans="2:2" x14ac:dyDescent="0.3">
      <c r="B614" s="12"/>
    </row>
    <row r="615" spans="2:2" x14ac:dyDescent="0.3">
      <c r="B615" s="12"/>
    </row>
    <row r="616" spans="2:2" x14ac:dyDescent="0.3">
      <c r="B616" s="12"/>
    </row>
    <row r="617" spans="2:2" x14ac:dyDescent="0.3">
      <c r="B617" s="12"/>
    </row>
    <row r="618" spans="2:2" x14ac:dyDescent="0.3">
      <c r="B618" s="12"/>
    </row>
    <row r="619" spans="2:2" x14ac:dyDescent="0.3">
      <c r="B619" s="12"/>
    </row>
    <row r="620" spans="2:2" x14ac:dyDescent="0.3">
      <c r="B620" s="12"/>
    </row>
    <row r="621" spans="2:2" x14ac:dyDescent="0.3">
      <c r="B621" s="12"/>
    </row>
    <row r="622" spans="2:2" x14ac:dyDescent="0.3">
      <c r="B622" s="12"/>
    </row>
    <row r="623" spans="2:2" x14ac:dyDescent="0.3">
      <c r="B623" s="12"/>
    </row>
    <row r="624" spans="2:2" x14ac:dyDescent="0.3">
      <c r="B624" s="12"/>
    </row>
    <row r="625" spans="2:2" x14ac:dyDescent="0.3">
      <c r="B625" s="12"/>
    </row>
    <row r="626" spans="2:2" x14ac:dyDescent="0.3">
      <c r="B626" s="12"/>
    </row>
    <row r="627" spans="2:2" x14ac:dyDescent="0.3">
      <c r="B627" s="12"/>
    </row>
    <row r="628" spans="2:2" x14ac:dyDescent="0.3">
      <c r="B628" s="12"/>
    </row>
    <row r="629" spans="2:2" x14ac:dyDescent="0.3">
      <c r="B629" s="12"/>
    </row>
    <row r="630" spans="2:2" x14ac:dyDescent="0.3">
      <c r="B630" s="12"/>
    </row>
    <row r="631" spans="2:2" x14ac:dyDescent="0.3">
      <c r="B631" s="12"/>
    </row>
    <row r="632" spans="2:2" x14ac:dyDescent="0.3">
      <c r="B632" s="12"/>
    </row>
    <row r="633" spans="2:2" x14ac:dyDescent="0.3">
      <c r="B633" s="12"/>
    </row>
    <row r="634" spans="2:2" x14ac:dyDescent="0.3">
      <c r="B634" s="12"/>
    </row>
    <row r="635" spans="2:2" x14ac:dyDescent="0.3">
      <c r="B635" s="12"/>
    </row>
    <row r="636" spans="2:2" x14ac:dyDescent="0.3">
      <c r="B636" s="12"/>
    </row>
    <row r="637" spans="2:2" x14ac:dyDescent="0.3">
      <c r="B637" s="12"/>
    </row>
    <row r="638" spans="2:2" x14ac:dyDescent="0.3">
      <c r="B638" s="12"/>
    </row>
    <row r="639" spans="2:2" x14ac:dyDescent="0.3">
      <c r="B639" s="12"/>
    </row>
    <row r="640" spans="2:2" x14ac:dyDescent="0.3">
      <c r="B640" s="12"/>
    </row>
    <row r="641" spans="2:2" x14ac:dyDescent="0.3">
      <c r="B641" s="12"/>
    </row>
    <row r="642" spans="2:2" x14ac:dyDescent="0.3">
      <c r="B642" s="12"/>
    </row>
    <row r="643" spans="2:2" x14ac:dyDescent="0.3">
      <c r="B643" s="12"/>
    </row>
    <row r="644" spans="2:2" x14ac:dyDescent="0.3">
      <c r="B644" s="12"/>
    </row>
    <row r="645" spans="2:2" x14ac:dyDescent="0.3">
      <c r="B645" s="12"/>
    </row>
    <row r="646" spans="2:2" x14ac:dyDescent="0.3">
      <c r="B646" s="12"/>
    </row>
    <row r="647" spans="2:2" x14ac:dyDescent="0.3">
      <c r="B647" s="12"/>
    </row>
    <row r="648" spans="2:2" x14ac:dyDescent="0.3">
      <c r="B648" s="12"/>
    </row>
    <row r="649" spans="2:2" x14ac:dyDescent="0.3">
      <c r="B649" s="12"/>
    </row>
    <row r="650" spans="2:2" x14ac:dyDescent="0.3">
      <c r="B650" s="12"/>
    </row>
    <row r="651" spans="2:2" x14ac:dyDescent="0.3">
      <c r="B651" s="12"/>
    </row>
    <row r="652" spans="2:2" x14ac:dyDescent="0.3">
      <c r="B652" s="12"/>
    </row>
    <row r="653" spans="2:2" x14ac:dyDescent="0.3">
      <c r="B653" s="12"/>
    </row>
    <row r="654" spans="2:2" x14ac:dyDescent="0.3">
      <c r="B654" s="12"/>
    </row>
    <row r="655" spans="2:2" x14ac:dyDescent="0.3">
      <c r="B655" s="12"/>
    </row>
    <row r="656" spans="2:2" x14ac:dyDescent="0.3">
      <c r="B656" s="12"/>
    </row>
    <row r="657" spans="2:2" x14ac:dyDescent="0.3">
      <c r="B657" s="12"/>
    </row>
    <row r="658" spans="2:2" x14ac:dyDescent="0.3">
      <c r="B658" s="12"/>
    </row>
    <row r="659" spans="2:2" x14ac:dyDescent="0.3">
      <c r="B659" s="12"/>
    </row>
    <row r="660" spans="2:2" x14ac:dyDescent="0.3">
      <c r="B660" s="12"/>
    </row>
    <row r="661" spans="2:2" x14ac:dyDescent="0.3">
      <c r="B661" s="12"/>
    </row>
    <row r="662" spans="2:2" x14ac:dyDescent="0.3">
      <c r="B662" s="12"/>
    </row>
    <row r="663" spans="2:2" x14ac:dyDescent="0.3">
      <c r="B663" s="12"/>
    </row>
    <row r="664" spans="2:2" x14ac:dyDescent="0.3">
      <c r="B664" s="12"/>
    </row>
    <row r="665" spans="2:2" x14ac:dyDescent="0.3">
      <c r="B665" s="12"/>
    </row>
    <row r="666" spans="2:2" x14ac:dyDescent="0.3">
      <c r="B666" s="12"/>
    </row>
    <row r="667" spans="2:2" x14ac:dyDescent="0.3">
      <c r="B667" s="12"/>
    </row>
    <row r="668" spans="2:2" x14ac:dyDescent="0.3">
      <c r="B668" s="12"/>
    </row>
    <row r="669" spans="2:2" x14ac:dyDescent="0.3">
      <c r="B669" s="12"/>
    </row>
    <row r="670" spans="2:2" x14ac:dyDescent="0.3">
      <c r="B670" s="12"/>
    </row>
    <row r="671" spans="2:2" x14ac:dyDescent="0.3">
      <c r="B671" s="12"/>
    </row>
    <row r="672" spans="2:2" x14ac:dyDescent="0.3">
      <c r="B672" s="12"/>
    </row>
    <row r="673" spans="2:2" x14ac:dyDescent="0.3">
      <c r="B673" s="12"/>
    </row>
    <row r="674" spans="2:2" x14ac:dyDescent="0.3">
      <c r="B674" s="12"/>
    </row>
    <row r="675" spans="2:2" x14ac:dyDescent="0.3">
      <c r="B675" s="12"/>
    </row>
    <row r="676" spans="2:2" x14ac:dyDescent="0.3">
      <c r="B676" s="12"/>
    </row>
    <row r="677" spans="2:2" x14ac:dyDescent="0.3">
      <c r="B677" s="12"/>
    </row>
    <row r="678" spans="2:2" x14ac:dyDescent="0.3">
      <c r="B678" s="12"/>
    </row>
    <row r="679" spans="2:2" x14ac:dyDescent="0.3">
      <c r="B679" s="12"/>
    </row>
    <row r="680" spans="2:2" x14ac:dyDescent="0.3">
      <c r="B680" s="12"/>
    </row>
    <row r="681" spans="2:2" x14ac:dyDescent="0.3">
      <c r="B681" s="12"/>
    </row>
    <row r="682" spans="2:2" x14ac:dyDescent="0.3">
      <c r="B682" s="12"/>
    </row>
    <row r="683" spans="2:2" x14ac:dyDescent="0.3">
      <c r="B683" s="12"/>
    </row>
    <row r="684" spans="2:2" x14ac:dyDescent="0.3">
      <c r="B684" s="12"/>
    </row>
    <row r="685" spans="2:2" x14ac:dyDescent="0.3">
      <c r="B685" s="12"/>
    </row>
    <row r="686" spans="2:2" x14ac:dyDescent="0.3">
      <c r="B686" s="12"/>
    </row>
    <row r="687" spans="2:2" x14ac:dyDescent="0.3">
      <c r="B687" s="12"/>
    </row>
    <row r="688" spans="2:2" x14ac:dyDescent="0.3">
      <c r="B688" s="12"/>
    </row>
    <row r="689" spans="2:2" x14ac:dyDescent="0.3">
      <c r="B689" s="12"/>
    </row>
    <row r="690" spans="2:2" x14ac:dyDescent="0.3">
      <c r="B690" s="12"/>
    </row>
    <row r="691" spans="2:2" x14ac:dyDescent="0.3">
      <c r="B691" s="12"/>
    </row>
    <row r="692" spans="2:2" x14ac:dyDescent="0.3">
      <c r="B692" s="12"/>
    </row>
    <row r="693" spans="2:2" x14ac:dyDescent="0.3">
      <c r="B693" s="12"/>
    </row>
    <row r="694" spans="2:2" x14ac:dyDescent="0.3">
      <c r="B694" s="12"/>
    </row>
    <row r="695" spans="2:2" x14ac:dyDescent="0.3">
      <c r="B695" s="12"/>
    </row>
    <row r="696" spans="2:2" x14ac:dyDescent="0.3">
      <c r="B696" s="12"/>
    </row>
    <row r="697" spans="2:2" x14ac:dyDescent="0.3">
      <c r="B697" s="12"/>
    </row>
    <row r="698" spans="2:2" x14ac:dyDescent="0.3">
      <c r="B698" s="12"/>
    </row>
    <row r="699" spans="2:2" x14ac:dyDescent="0.3">
      <c r="B699" s="12"/>
    </row>
    <row r="700" spans="2:2" x14ac:dyDescent="0.3">
      <c r="B700" s="12"/>
    </row>
    <row r="701" spans="2:2" x14ac:dyDescent="0.3">
      <c r="B701" s="12"/>
    </row>
    <row r="702" spans="2:2" x14ac:dyDescent="0.3">
      <c r="B702" s="12"/>
    </row>
    <row r="703" spans="2:2" x14ac:dyDescent="0.3">
      <c r="B703" s="12"/>
    </row>
    <row r="704" spans="2:2" x14ac:dyDescent="0.3">
      <c r="B704" s="12"/>
    </row>
    <row r="705" spans="2:2" x14ac:dyDescent="0.3">
      <c r="B705" s="12"/>
    </row>
    <row r="706" spans="2:2" x14ac:dyDescent="0.3">
      <c r="B706" s="12"/>
    </row>
    <row r="707" spans="2:2" x14ac:dyDescent="0.3">
      <c r="B707" s="12"/>
    </row>
    <row r="708" spans="2:2" x14ac:dyDescent="0.3">
      <c r="B708" s="12"/>
    </row>
    <row r="709" spans="2:2" x14ac:dyDescent="0.3">
      <c r="B709" s="12"/>
    </row>
    <row r="710" spans="2:2" x14ac:dyDescent="0.3">
      <c r="B710" s="12"/>
    </row>
    <row r="711" spans="2:2" x14ac:dyDescent="0.3">
      <c r="B711" s="12"/>
    </row>
    <row r="712" spans="2:2" x14ac:dyDescent="0.3">
      <c r="B712" s="12"/>
    </row>
    <row r="713" spans="2:2" x14ac:dyDescent="0.3">
      <c r="B713" s="12"/>
    </row>
    <row r="714" spans="2:2" x14ac:dyDescent="0.3">
      <c r="B714" s="12"/>
    </row>
    <row r="715" spans="2:2" x14ac:dyDescent="0.3">
      <c r="B715" s="12"/>
    </row>
    <row r="716" spans="2:2" x14ac:dyDescent="0.3">
      <c r="B716" s="12"/>
    </row>
    <row r="717" spans="2:2" x14ac:dyDescent="0.3">
      <c r="B717" s="12"/>
    </row>
    <row r="718" spans="2:2" x14ac:dyDescent="0.3">
      <c r="B718" s="12"/>
    </row>
    <row r="719" spans="2:2" x14ac:dyDescent="0.3">
      <c r="B719" s="12"/>
    </row>
    <row r="720" spans="2:2" x14ac:dyDescent="0.3">
      <c r="B720" s="12"/>
    </row>
    <row r="721" spans="2:2" x14ac:dyDescent="0.3">
      <c r="B721" s="12"/>
    </row>
    <row r="722" spans="2:2" x14ac:dyDescent="0.3">
      <c r="B722" s="12"/>
    </row>
    <row r="723" spans="2:2" x14ac:dyDescent="0.3">
      <c r="B723" s="12"/>
    </row>
    <row r="724" spans="2:2" x14ac:dyDescent="0.3">
      <c r="B724" s="12"/>
    </row>
    <row r="725" spans="2:2" x14ac:dyDescent="0.3">
      <c r="B725" s="12"/>
    </row>
    <row r="726" spans="2:2" x14ac:dyDescent="0.3">
      <c r="B726" s="12"/>
    </row>
    <row r="727" spans="2:2" x14ac:dyDescent="0.3">
      <c r="B727" s="12"/>
    </row>
    <row r="728" spans="2:2" x14ac:dyDescent="0.3">
      <c r="B728" s="12"/>
    </row>
    <row r="729" spans="2:2" x14ac:dyDescent="0.3">
      <c r="B729" s="12"/>
    </row>
    <row r="730" spans="2:2" x14ac:dyDescent="0.3">
      <c r="B730" s="12"/>
    </row>
    <row r="731" spans="2:2" x14ac:dyDescent="0.3">
      <c r="B731" s="12"/>
    </row>
    <row r="732" spans="2:2" x14ac:dyDescent="0.3">
      <c r="B732" s="12"/>
    </row>
    <row r="733" spans="2:2" x14ac:dyDescent="0.3">
      <c r="B733" s="12"/>
    </row>
    <row r="734" spans="2:2" x14ac:dyDescent="0.3">
      <c r="B734" s="12"/>
    </row>
    <row r="735" spans="2:2" x14ac:dyDescent="0.3">
      <c r="B735" s="12"/>
    </row>
    <row r="736" spans="2:2" x14ac:dyDescent="0.3">
      <c r="B736" s="12"/>
    </row>
    <row r="737" spans="2:2" x14ac:dyDescent="0.3">
      <c r="B737" s="12"/>
    </row>
    <row r="738" spans="2:2" x14ac:dyDescent="0.3">
      <c r="B738" s="12"/>
    </row>
    <row r="739" spans="2:2" x14ac:dyDescent="0.3">
      <c r="B739" s="12"/>
    </row>
    <row r="740" spans="2:2" x14ac:dyDescent="0.3">
      <c r="B740" s="12"/>
    </row>
    <row r="741" spans="2:2" x14ac:dyDescent="0.3">
      <c r="B741" s="12"/>
    </row>
    <row r="742" spans="2:2" x14ac:dyDescent="0.3">
      <c r="B742" s="12"/>
    </row>
    <row r="743" spans="2:2" x14ac:dyDescent="0.3">
      <c r="B743" s="12"/>
    </row>
    <row r="744" spans="2:2" x14ac:dyDescent="0.3">
      <c r="B744" s="12"/>
    </row>
    <row r="745" spans="2:2" x14ac:dyDescent="0.3">
      <c r="B745" s="12"/>
    </row>
    <row r="746" spans="2:2" x14ac:dyDescent="0.3">
      <c r="B746" s="12"/>
    </row>
    <row r="747" spans="2:2" x14ac:dyDescent="0.3">
      <c r="B747" s="12"/>
    </row>
    <row r="748" spans="2:2" x14ac:dyDescent="0.3">
      <c r="B748" s="12"/>
    </row>
    <row r="749" spans="2:2" x14ac:dyDescent="0.3">
      <c r="B749" s="12"/>
    </row>
    <row r="750" spans="2:2" x14ac:dyDescent="0.3">
      <c r="B750" s="12"/>
    </row>
    <row r="751" spans="2:2" x14ac:dyDescent="0.3">
      <c r="B751" s="12"/>
    </row>
    <row r="752" spans="2:2" x14ac:dyDescent="0.3">
      <c r="B752" s="12"/>
    </row>
    <row r="753" spans="2:2" x14ac:dyDescent="0.3">
      <c r="B753" s="12"/>
    </row>
    <row r="754" spans="2:2" x14ac:dyDescent="0.3">
      <c r="B754" s="12"/>
    </row>
    <row r="755" spans="2:2" x14ac:dyDescent="0.3">
      <c r="B755" s="12"/>
    </row>
    <row r="756" spans="2:2" x14ac:dyDescent="0.3">
      <c r="B756" s="12"/>
    </row>
    <row r="757" spans="2:2" x14ac:dyDescent="0.3">
      <c r="B757" s="12"/>
    </row>
    <row r="758" spans="2:2" x14ac:dyDescent="0.3">
      <c r="B758" s="12"/>
    </row>
    <row r="759" spans="2:2" x14ac:dyDescent="0.3">
      <c r="B759" s="12"/>
    </row>
    <row r="760" spans="2:2" x14ac:dyDescent="0.3">
      <c r="B760" s="12"/>
    </row>
    <row r="761" spans="2:2" x14ac:dyDescent="0.3">
      <c r="B761" s="12"/>
    </row>
    <row r="762" spans="2:2" x14ac:dyDescent="0.3">
      <c r="B762" s="12"/>
    </row>
    <row r="763" spans="2:2" x14ac:dyDescent="0.3">
      <c r="B763" s="12"/>
    </row>
    <row r="764" spans="2:2" x14ac:dyDescent="0.3">
      <c r="B764" s="12"/>
    </row>
    <row r="765" spans="2:2" x14ac:dyDescent="0.3">
      <c r="B765" s="12"/>
    </row>
    <row r="766" spans="2:2" x14ac:dyDescent="0.3">
      <c r="B766" s="12"/>
    </row>
    <row r="767" spans="2:2" x14ac:dyDescent="0.3">
      <c r="B767" s="12"/>
    </row>
    <row r="768" spans="2:2" x14ac:dyDescent="0.3">
      <c r="B768" s="12"/>
    </row>
    <row r="769" spans="2:2" x14ac:dyDescent="0.3">
      <c r="B769" s="12"/>
    </row>
    <row r="770" spans="2:2" x14ac:dyDescent="0.3">
      <c r="B770" s="12"/>
    </row>
    <row r="771" spans="2:2" x14ac:dyDescent="0.3">
      <c r="B771" s="12"/>
    </row>
    <row r="772" spans="2:2" x14ac:dyDescent="0.3">
      <c r="B772" s="12"/>
    </row>
    <row r="773" spans="2:2" x14ac:dyDescent="0.3">
      <c r="B773" s="12"/>
    </row>
    <row r="774" spans="2:2" x14ac:dyDescent="0.3">
      <c r="B774" s="12"/>
    </row>
    <row r="775" spans="2:2" x14ac:dyDescent="0.3">
      <c r="B775" s="12"/>
    </row>
    <row r="776" spans="2:2" x14ac:dyDescent="0.3">
      <c r="B776" s="12"/>
    </row>
    <row r="777" spans="2:2" x14ac:dyDescent="0.3">
      <c r="B777" s="12"/>
    </row>
    <row r="778" spans="2:2" x14ac:dyDescent="0.3">
      <c r="B778" s="12"/>
    </row>
    <row r="779" spans="2:2" x14ac:dyDescent="0.3">
      <c r="B779" s="12"/>
    </row>
    <row r="780" spans="2:2" x14ac:dyDescent="0.3">
      <c r="B780" s="12"/>
    </row>
    <row r="781" spans="2:2" x14ac:dyDescent="0.3">
      <c r="B781" s="12"/>
    </row>
    <row r="782" spans="2:2" x14ac:dyDescent="0.3">
      <c r="B782" s="12"/>
    </row>
    <row r="783" spans="2:2" x14ac:dyDescent="0.3">
      <c r="B783" s="12"/>
    </row>
    <row r="784" spans="2:2" x14ac:dyDescent="0.3">
      <c r="B784" s="12"/>
    </row>
    <row r="785" spans="2:2" x14ac:dyDescent="0.3">
      <c r="B785" s="12"/>
    </row>
    <row r="786" spans="2:2" x14ac:dyDescent="0.3">
      <c r="B786" s="12"/>
    </row>
    <row r="787" spans="2:2" x14ac:dyDescent="0.3">
      <c r="B787" s="12"/>
    </row>
    <row r="788" spans="2:2" x14ac:dyDescent="0.3">
      <c r="B788" s="12"/>
    </row>
    <row r="789" spans="2:2" x14ac:dyDescent="0.3">
      <c r="B789" s="12"/>
    </row>
    <row r="790" spans="2:2" x14ac:dyDescent="0.3">
      <c r="B790" s="12"/>
    </row>
    <row r="791" spans="2:2" x14ac:dyDescent="0.3">
      <c r="B791" s="12"/>
    </row>
    <row r="792" spans="2:2" x14ac:dyDescent="0.3">
      <c r="B792" s="12"/>
    </row>
    <row r="793" spans="2:2" x14ac:dyDescent="0.3">
      <c r="B793" s="12"/>
    </row>
    <row r="794" spans="2:2" x14ac:dyDescent="0.3">
      <c r="B794" s="12"/>
    </row>
    <row r="795" spans="2:2" x14ac:dyDescent="0.3">
      <c r="B795" s="12"/>
    </row>
    <row r="796" spans="2:2" x14ac:dyDescent="0.3">
      <c r="B796" s="12"/>
    </row>
    <row r="797" spans="2:2" x14ac:dyDescent="0.3">
      <c r="B797" s="12"/>
    </row>
    <row r="798" spans="2:2" x14ac:dyDescent="0.3">
      <c r="B798" s="12"/>
    </row>
    <row r="799" spans="2:2" x14ac:dyDescent="0.3">
      <c r="B799" s="12"/>
    </row>
    <row r="800" spans="2:2" x14ac:dyDescent="0.3">
      <c r="B800" s="12"/>
    </row>
    <row r="801" spans="2:2" x14ac:dyDescent="0.3">
      <c r="B801" s="12"/>
    </row>
    <row r="802" spans="2:2" x14ac:dyDescent="0.3">
      <c r="B802" s="12"/>
    </row>
    <row r="803" spans="2:2" x14ac:dyDescent="0.3">
      <c r="B803" s="12"/>
    </row>
    <row r="804" spans="2:2" x14ac:dyDescent="0.3">
      <c r="B804" s="12"/>
    </row>
    <row r="805" spans="2:2" x14ac:dyDescent="0.3">
      <c r="B805" s="12"/>
    </row>
    <row r="806" spans="2:2" x14ac:dyDescent="0.3">
      <c r="B806" s="12"/>
    </row>
    <row r="807" spans="2:2" x14ac:dyDescent="0.3">
      <c r="B807" s="12"/>
    </row>
    <row r="808" spans="2:2" x14ac:dyDescent="0.3">
      <c r="B808" s="12"/>
    </row>
    <row r="809" spans="2:2" x14ac:dyDescent="0.3">
      <c r="B809" s="12"/>
    </row>
    <row r="810" spans="2:2" x14ac:dyDescent="0.3">
      <c r="B810" s="12"/>
    </row>
    <row r="811" spans="2:2" x14ac:dyDescent="0.3">
      <c r="B811" s="12"/>
    </row>
    <row r="812" spans="2:2" x14ac:dyDescent="0.3">
      <c r="B812" s="12"/>
    </row>
    <row r="813" spans="2:2" x14ac:dyDescent="0.3">
      <c r="B813" s="12"/>
    </row>
    <row r="814" spans="2:2" x14ac:dyDescent="0.3">
      <c r="B814" s="12"/>
    </row>
    <row r="815" spans="2:2" x14ac:dyDescent="0.3">
      <c r="B815" s="12"/>
    </row>
    <row r="816" spans="2:2" x14ac:dyDescent="0.3">
      <c r="B816" s="12"/>
    </row>
    <row r="817" spans="2:2" x14ac:dyDescent="0.3">
      <c r="B817" s="12"/>
    </row>
    <row r="818" spans="2:2" x14ac:dyDescent="0.3">
      <c r="B818" s="12"/>
    </row>
    <row r="819" spans="2:2" x14ac:dyDescent="0.3">
      <c r="B819" s="12"/>
    </row>
    <row r="820" spans="2:2" x14ac:dyDescent="0.3">
      <c r="B820" s="12"/>
    </row>
    <row r="821" spans="2:2" x14ac:dyDescent="0.3">
      <c r="B821" s="12"/>
    </row>
    <row r="822" spans="2:2" x14ac:dyDescent="0.3">
      <c r="B822" s="12"/>
    </row>
    <row r="823" spans="2:2" x14ac:dyDescent="0.3">
      <c r="B823" s="12"/>
    </row>
    <row r="824" spans="2:2" x14ac:dyDescent="0.3">
      <c r="B824" s="12"/>
    </row>
    <row r="825" spans="2:2" x14ac:dyDescent="0.3">
      <c r="B825" s="12"/>
    </row>
    <row r="826" spans="2:2" x14ac:dyDescent="0.3">
      <c r="B826" s="12"/>
    </row>
    <row r="827" spans="2:2" x14ac:dyDescent="0.3">
      <c r="B827" s="12"/>
    </row>
    <row r="828" spans="2:2" x14ac:dyDescent="0.3">
      <c r="B828" s="12"/>
    </row>
    <row r="829" spans="2:2" x14ac:dyDescent="0.3">
      <c r="B829" s="12"/>
    </row>
    <row r="830" spans="2:2" x14ac:dyDescent="0.3">
      <c r="B830" s="12"/>
    </row>
    <row r="831" spans="2:2" x14ac:dyDescent="0.3">
      <c r="B831" s="12"/>
    </row>
    <row r="832" spans="2:2" x14ac:dyDescent="0.3">
      <c r="B832" s="12"/>
    </row>
    <row r="833" spans="2:2" x14ac:dyDescent="0.3">
      <c r="B833" s="12"/>
    </row>
    <row r="834" spans="2:2" x14ac:dyDescent="0.3">
      <c r="B834" s="12"/>
    </row>
    <row r="835" spans="2:2" x14ac:dyDescent="0.3">
      <c r="B835" s="12"/>
    </row>
    <row r="836" spans="2:2" x14ac:dyDescent="0.3">
      <c r="B836" s="12"/>
    </row>
    <row r="837" spans="2:2" x14ac:dyDescent="0.3">
      <c r="B837" s="12"/>
    </row>
    <row r="838" spans="2:2" x14ac:dyDescent="0.3">
      <c r="B838" s="12"/>
    </row>
    <row r="839" spans="2:2" x14ac:dyDescent="0.3">
      <c r="B839" s="12"/>
    </row>
    <row r="840" spans="2:2" x14ac:dyDescent="0.3">
      <c r="B840" s="12"/>
    </row>
    <row r="841" spans="2:2" x14ac:dyDescent="0.3">
      <c r="B841" s="12"/>
    </row>
    <row r="842" spans="2:2" x14ac:dyDescent="0.3">
      <c r="B842" s="12"/>
    </row>
    <row r="843" spans="2:2" x14ac:dyDescent="0.3">
      <c r="B843" s="12"/>
    </row>
    <row r="844" spans="2:2" x14ac:dyDescent="0.3">
      <c r="B844" s="12"/>
    </row>
    <row r="845" spans="2:2" x14ac:dyDescent="0.3">
      <c r="B845" s="12"/>
    </row>
    <row r="846" spans="2:2" x14ac:dyDescent="0.3">
      <c r="B846" s="12"/>
    </row>
    <row r="847" spans="2:2" x14ac:dyDescent="0.3">
      <c r="B847" s="12"/>
    </row>
    <row r="848" spans="2:2" x14ac:dyDescent="0.3">
      <c r="B848" s="12"/>
    </row>
    <row r="849" spans="2:2" x14ac:dyDescent="0.3">
      <c r="B849" s="12"/>
    </row>
    <row r="850" spans="2:2" x14ac:dyDescent="0.3">
      <c r="B850" s="12"/>
    </row>
    <row r="851" spans="2:2" x14ac:dyDescent="0.3">
      <c r="B851" s="12"/>
    </row>
    <row r="852" spans="2:2" x14ac:dyDescent="0.3">
      <c r="B852" s="12"/>
    </row>
    <row r="853" spans="2:2" x14ac:dyDescent="0.3">
      <c r="B853" s="12"/>
    </row>
    <row r="854" spans="2:2" x14ac:dyDescent="0.3">
      <c r="B854" s="12"/>
    </row>
    <row r="855" spans="2:2" x14ac:dyDescent="0.3">
      <c r="B855" s="12"/>
    </row>
    <row r="856" spans="2:2" x14ac:dyDescent="0.3">
      <c r="B856" s="12"/>
    </row>
    <row r="857" spans="2:2" x14ac:dyDescent="0.3">
      <c r="B857" s="12"/>
    </row>
    <row r="858" spans="2:2" x14ac:dyDescent="0.3">
      <c r="B858" s="12"/>
    </row>
    <row r="859" spans="2:2" x14ac:dyDescent="0.3">
      <c r="B859" s="12"/>
    </row>
    <row r="860" spans="2:2" x14ac:dyDescent="0.3">
      <c r="B860" s="12"/>
    </row>
    <row r="861" spans="2:2" x14ac:dyDescent="0.3">
      <c r="B861" s="12"/>
    </row>
    <row r="862" spans="2:2" x14ac:dyDescent="0.3">
      <c r="B862" s="12"/>
    </row>
    <row r="863" spans="2:2" x14ac:dyDescent="0.3">
      <c r="B863" s="12"/>
    </row>
    <row r="864" spans="2:2" x14ac:dyDescent="0.3">
      <c r="B864" s="12"/>
    </row>
    <row r="865" spans="2:2" x14ac:dyDescent="0.3">
      <c r="B865" s="12"/>
    </row>
    <row r="866" spans="2:2" x14ac:dyDescent="0.3">
      <c r="B866" s="12"/>
    </row>
    <row r="867" spans="2:2" x14ac:dyDescent="0.3">
      <c r="B867" s="12"/>
    </row>
    <row r="868" spans="2:2" x14ac:dyDescent="0.3">
      <c r="B868" s="12"/>
    </row>
    <row r="869" spans="2:2" x14ac:dyDescent="0.3">
      <c r="B869" s="12"/>
    </row>
    <row r="870" spans="2:2" x14ac:dyDescent="0.3">
      <c r="B870" s="12"/>
    </row>
    <row r="871" spans="2:2" x14ac:dyDescent="0.3">
      <c r="B871" s="12"/>
    </row>
    <row r="872" spans="2:2" x14ac:dyDescent="0.3">
      <c r="B872" s="12"/>
    </row>
    <row r="873" spans="2:2" x14ac:dyDescent="0.3">
      <c r="B873" s="12"/>
    </row>
    <row r="874" spans="2:2" x14ac:dyDescent="0.3">
      <c r="B874" s="12"/>
    </row>
    <row r="875" spans="2:2" x14ac:dyDescent="0.3">
      <c r="B875" s="12"/>
    </row>
    <row r="876" spans="2:2" x14ac:dyDescent="0.3">
      <c r="B876" s="12"/>
    </row>
    <row r="877" spans="2:2" x14ac:dyDescent="0.3">
      <c r="B877" s="12"/>
    </row>
    <row r="878" spans="2:2" x14ac:dyDescent="0.3">
      <c r="B878" s="12"/>
    </row>
    <row r="879" spans="2:2" x14ac:dyDescent="0.3">
      <c r="B879" s="12"/>
    </row>
    <row r="880" spans="2:2" x14ac:dyDescent="0.3">
      <c r="B880" s="12"/>
    </row>
    <row r="881" spans="2:2" x14ac:dyDescent="0.3">
      <c r="B881" s="12"/>
    </row>
    <row r="882" spans="2:2" x14ac:dyDescent="0.3">
      <c r="B882" s="12"/>
    </row>
    <row r="883" spans="2:2" x14ac:dyDescent="0.3">
      <c r="B883" s="12"/>
    </row>
    <row r="884" spans="2:2" x14ac:dyDescent="0.3">
      <c r="B884" s="12"/>
    </row>
    <row r="885" spans="2:2" x14ac:dyDescent="0.3">
      <c r="B885" s="12"/>
    </row>
    <row r="886" spans="2:2" x14ac:dyDescent="0.3">
      <c r="B886" s="12"/>
    </row>
    <row r="887" spans="2:2" x14ac:dyDescent="0.3">
      <c r="B887" s="12"/>
    </row>
    <row r="888" spans="2:2" x14ac:dyDescent="0.3">
      <c r="B888" s="12"/>
    </row>
    <row r="889" spans="2:2" x14ac:dyDescent="0.3">
      <c r="B889" s="12"/>
    </row>
    <row r="890" spans="2:2" x14ac:dyDescent="0.3">
      <c r="B890" s="12"/>
    </row>
    <row r="891" spans="2:2" x14ac:dyDescent="0.3">
      <c r="B891" s="12"/>
    </row>
    <row r="892" spans="2:2" x14ac:dyDescent="0.3">
      <c r="B892" s="12"/>
    </row>
    <row r="893" spans="2:2" x14ac:dyDescent="0.3">
      <c r="B893" s="12"/>
    </row>
    <row r="894" spans="2:2" x14ac:dyDescent="0.3">
      <c r="B894" s="12"/>
    </row>
    <row r="895" spans="2:2" x14ac:dyDescent="0.3">
      <c r="B895" s="12"/>
    </row>
    <row r="896" spans="2:2" x14ac:dyDescent="0.3">
      <c r="B896" s="12"/>
    </row>
    <row r="897" spans="2:2" x14ac:dyDescent="0.3">
      <c r="B897" s="12"/>
    </row>
    <row r="898" spans="2:2" x14ac:dyDescent="0.3">
      <c r="B898" s="12"/>
    </row>
    <row r="899" spans="2:2" x14ac:dyDescent="0.3">
      <c r="B899" s="12"/>
    </row>
    <row r="900" spans="2:2" x14ac:dyDescent="0.3">
      <c r="B900" s="12"/>
    </row>
    <row r="901" spans="2:2" x14ac:dyDescent="0.3">
      <c r="B901" s="12"/>
    </row>
    <row r="902" spans="2:2" x14ac:dyDescent="0.3">
      <c r="B902" s="12"/>
    </row>
    <row r="903" spans="2:2" x14ac:dyDescent="0.3">
      <c r="B903" s="12"/>
    </row>
    <row r="904" spans="2:2" x14ac:dyDescent="0.3">
      <c r="B904" s="12"/>
    </row>
    <row r="905" spans="2:2" x14ac:dyDescent="0.3">
      <c r="B905" s="12"/>
    </row>
    <row r="906" spans="2:2" x14ac:dyDescent="0.3">
      <c r="B906" s="12"/>
    </row>
    <row r="907" spans="2:2" x14ac:dyDescent="0.3">
      <c r="B907" s="12"/>
    </row>
    <row r="908" spans="2:2" x14ac:dyDescent="0.3">
      <c r="B908" s="12"/>
    </row>
    <row r="909" spans="2:2" x14ac:dyDescent="0.3">
      <c r="B909" s="12"/>
    </row>
    <row r="910" spans="2:2" x14ac:dyDescent="0.3">
      <c r="B910" s="12"/>
    </row>
    <row r="911" spans="2:2" x14ac:dyDescent="0.3">
      <c r="B911" s="12"/>
    </row>
    <row r="912" spans="2:2" x14ac:dyDescent="0.3">
      <c r="B912" s="12"/>
    </row>
    <row r="913" spans="2:2" x14ac:dyDescent="0.3">
      <c r="B913" s="12"/>
    </row>
    <row r="914" spans="2:2" x14ac:dyDescent="0.3">
      <c r="B914" s="12"/>
    </row>
    <row r="915" spans="2:2" x14ac:dyDescent="0.3">
      <c r="B915" s="12"/>
    </row>
    <row r="916" spans="2:2" x14ac:dyDescent="0.3">
      <c r="B916" s="12"/>
    </row>
    <row r="917" spans="2:2" x14ac:dyDescent="0.3">
      <c r="B917" s="12"/>
    </row>
    <row r="918" spans="2:2" x14ac:dyDescent="0.3">
      <c r="B918" s="12"/>
    </row>
    <row r="919" spans="2:2" x14ac:dyDescent="0.3">
      <c r="B919" s="12"/>
    </row>
    <row r="920" spans="2:2" x14ac:dyDescent="0.3">
      <c r="B920" s="12"/>
    </row>
    <row r="921" spans="2:2" x14ac:dyDescent="0.3">
      <c r="B921" s="12"/>
    </row>
    <row r="922" spans="2:2" x14ac:dyDescent="0.3">
      <c r="B922" s="12"/>
    </row>
    <row r="923" spans="2:2" x14ac:dyDescent="0.3">
      <c r="B923" s="12"/>
    </row>
    <row r="924" spans="2:2" x14ac:dyDescent="0.3">
      <c r="B924" s="12"/>
    </row>
    <row r="925" spans="2:2" x14ac:dyDescent="0.3">
      <c r="B925" s="12"/>
    </row>
    <row r="926" spans="2:2" x14ac:dyDescent="0.3">
      <c r="B926" s="12"/>
    </row>
    <row r="927" spans="2:2" x14ac:dyDescent="0.3">
      <c r="B927" s="12"/>
    </row>
    <row r="928" spans="2:2" x14ac:dyDescent="0.3">
      <c r="B928" s="12"/>
    </row>
    <row r="929" spans="2:2" x14ac:dyDescent="0.3">
      <c r="B929" s="12"/>
    </row>
    <row r="930" spans="2:2" x14ac:dyDescent="0.3">
      <c r="B930" s="12"/>
    </row>
    <row r="931" spans="2:2" x14ac:dyDescent="0.3">
      <c r="B931" s="12"/>
    </row>
    <row r="932" spans="2:2" x14ac:dyDescent="0.3">
      <c r="B932" s="12"/>
    </row>
    <row r="933" spans="2:2" x14ac:dyDescent="0.3">
      <c r="B933" s="12"/>
    </row>
    <row r="934" spans="2:2" x14ac:dyDescent="0.3">
      <c r="B934" s="12"/>
    </row>
    <row r="935" spans="2:2" x14ac:dyDescent="0.3">
      <c r="B935" s="12"/>
    </row>
    <row r="936" spans="2:2" x14ac:dyDescent="0.3">
      <c r="B936" s="12"/>
    </row>
    <row r="937" spans="2:2" x14ac:dyDescent="0.3">
      <c r="B937" s="12"/>
    </row>
    <row r="938" spans="2:2" x14ac:dyDescent="0.3">
      <c r="B938" s="12"/>
    </row>
    <row r="939" spans="2:2" x14ac:dyDescent="0.3">
      <c r="B939" s="12"/>
    </row>
    <row r="940" spans="2:2" x14ac:dyDescent="0.3">
      <c r="B940" s="12"/>
    </row>
    <row r="941" spans="2:2" x14ac:dyDescent="0.3">
      <c r="B941" s="12"/>
    </row>
    <row r="942" spans="2:2" x14ac:dyDescent="0.3">
      <c r="B942" s="12"/>
    </row>
    <row r="943" spans="2:2" x14ac:dyDescent="0.3">
      <c r="B943" s="12"/>
    </row>
    <row r="944" spans="2:2" x14ac:dyDescent="0.3">
      <c r="B944" s="12"/>
    </row>
    <row r="945" spans="2:2" x14ac:dyDescent="0.3">
      <c r="B945" s="12"/>
    </row>
    <row r="946" spans="2:2" x14ac:dyDescent="0.3">
      <c r="B946" s="12"/>
    </row>
    <row r="947" spans="2:2" x14ac:dyDescent="0.3">
      <c r="B947" s="12"/>
    </row>
    <row r="948" spans="2:2" x14ac:dyDescent="0.3">
      <c r="B948" s="12"/>
    </row>
    <row r="949" spans="2:2" x14ac:dyDescent="0.3">
      <c r="B949" s="12"/>
    </row>
    <row r="950" spans="2:2" x14ac:dyDescent="0.3">
      <c r="B950" s="12"/>
    </row>
    <row r="951" spans="2:2" x14ac:dyDescent="0.3">
      <c r="B951" s="12"/>
    </row>
    <row r="952" spans="2:2" x14ac:dyDescent="0.3">
      <c r="B952" s="12"/>
    </row>
    <row r="953" spans="2:2" x14ac:dyDescent="0.3">
      <c r="B953" s="12"/>
    </row>
    <row r="954" spans="2:2" x14ac:dyDescent="0.3">
      <c r="B954" s="12"/>
    </row>
    <row r="955" spans="2:2" x14ac:dyDescent="0.3">
      <c r="B955" s="12"/>
    </row>
    <row r="956" spans="2:2" x14ac:dyDescent="0.3">
      <c r="B956" s="12"/>
    </row>
    <row r="957" spans="2:2" x14ac:dyDescent="0.3">
      <c r="B957" s="12"/>
    </row>
    <row r="958" spans="2:2" x14ac:dyDescent="0.3">
      <c r="B958" s="12"/>
    </row>
    <row r="959" spans="2:2" x14ac:dyDescent="0.3">
      <c r="B959" s="12"/>
    </row>
    <row r="960" spans="2:2" x14ac:dyDescent="0.3">
      <c r="B960" s="12"/>
    </row>
    <row r="961" spans="2:2" x14ac:dyDescent="0.3">
      <c r="B961" s="12"/>
    </row>
    <row r="962" spans="2:2" x14ac:dyDescent="0.3">
      <c r="B962" s="12"/>
    </row>
    <row r="963" spans="2:2" x14ac:dyDescent="0.3">
      <c r="B963" s="12"/>
    </row>
    <row r="964" spans="2:2" x14ac:dyDescent="0.3">
      <c r="B964" s="12"/>
    </row>
    <row r="965" spans="2:2" x14ac:dyDescent="0.3">
      <c r="B965" s="12"/>
    </row>
    <row r="966" spans="2:2" x14ac:dyDescent="0.3">
      <c r="B966" s="12"/>
    </row>
    <row r="967" spans="2:2" x14ac:dyDescent="0.3">
      <c r="B967" s="12"/>
    </row>
    <row r="968" spans="2:2" x14ac:dyDescent="0.3">
      <c r="B968" s="12"/>
    </row>
    <row r="969" spans="2:2" x14ac:dyDescent="0.3">
      <c r="B969" s="12"/>
    </row>
    <row r="970" spans="2:2" x14ac:dyDescent="0.3">
      <c r="B970" s="12"/>
    </row>
    <row r="971" spans="2:2" x14ac:dyDescent="0.3">
      <c r="B971" s="12"/>
    </row>
    <row r="972" spans="2:2" x14ac:dyDescent="0.3">
      <c r="B972" s="12"/>
    </row>
    <row r="973" spans="2:2" x14ac:dyDescent="0.3">
      <c r="B973" s="12"/>
    </row>
    <row r="974" spans="2:2" x14ac:dyDescent="0.3">
      <c r="B974" s="12"/>
    </row>
    <row r="975" spans="2:2" x14ac:dyDescent="0.3">
      <c r="B975" s="12"/>
    </row>
    <row r="976" spans="2:2" x14ac:dyDescent="0.3">
      <c r="B976" s="12"/>
    </row>
    <row r="977" spans="2:2" x14ac:dyDescent="0.3">
      <c r="B977" s="12"/>
    </row>
    <row r="978" spans="2:2" x14ac:dyDescent="0.3">
      <c r="B978" s="12"/>
    </row>
    <row r="979" spans="2:2" x14ac:dyDescent="0.3">
      <c r="B979" s="12"/>
    </row>
    <row r="980" spans="2:2" x14ac:dyDescent="0.3">
      <c r="B980" s="12"/>
    </row>
    <row r="981" spans="2:2" x14ac:dyDescent="0.3">
      <c r="B981" s="12"/>
    </row>
    <row r="982" spans="2:2" x14ac:dyDescent="0.3">
      <c r="B982" s="12"/>
    </row>
    <row r="983" spans="2:2" x14ac:dyDescent="0.3">
      <c r="B983" s="12"/>
    </row>
    <row r="984" spans="2:2" x14ac:dyDescent="0.3">
      <c r="B984" s="12"/>
    </row>
    <row r="985" spans="2:2" x14ac:dyDescent="0.3">
      <c r="B985" s="12"/>
    </row>
    <row r="986" spans="2:2" x14ac:dyDescent="0.3">
      <c r="B986" s="12"/>
    </row>
    <row r="987" spans="2:2" x14ac:dyDescent="0.3">
      <c r="B987" s="12"/>
    </row>
    <row r="988" spans="2:2" x14ac:dyDescent="0.3">
      <c r="B988" s="12"/>
    </row>
    <row r="989" spans="2:2" x14ac:dyDescent="0.3">
      <c r="B989" s="12"/>
    </row>
    <row r="990" spans="2:2" x14ac:dyDescent="0.3">
      <c r="B990" s="12"/>
    </row>
    <row r="991" spans="2:2" x14ac:dyDescent="0.3">
      <c r="B991" s="12"/>
    </row>
    <row r="992" spans="2:2" x14ac:dyDescent="0.3">
      <c r="B992" s="12"/>
    </row>
    <row r="993" spans="2:2" x14ac:dyDescent="0.3">
      <c r="B993" s="12"/>
    </row>
    <row r="994" spans="2:2" x14ac:dyDescent="0.3">
      <c r="B994" s="12"/>
    </row>
    <row r="995" spans="2:2" x14ac:dyDescent="0.3">
      <c r="B995" s="12"/>
    </row>
    <row r="996" spans="2:2" x14ac:dyDescent="0.3">
      <c r="B996" s="12"/>
    </row>
    <row r="997" spans="2:2" x14ac:dyDescent="0.3">
      <c r="B997" s="12"/>
    </row>
    <row r="998" spans="2:2" x14ac:dyDescent="0.3">
      <c r="B998" s="12"/>
    </row>
    <row r="999" spans="2:2" x14ac:dyDescent="0.3">
      <c r="B999" s="12"/>
    </row>
    <row r="1000" spans="2:2" x14ac:dyDescent="0.3">
      <c r="B1000" s="12"/>
    </row>
    <row r="1001" spans="2:2" x14ac:dyDescent="0.3">
      <c r="B1001" s="12"/>
    </row>
    <row r="1002" spans="2:2" x14ac:dyDescent="0.3">
      <c r="B1002" s="12"/>
    </row>
    <row r="1003" spans="2:2" x14ac:dyDescent="0.3">
      <c r="B1003" s="12"/>
    </row>
    <row r="1004" spans="2:2" x14ac:dyDescent="0.3">
      <c r="B1004" s="12"/>
    </row>
    <row r="1005" spans="2:2" x14ac:dyDescent="0.3">
      <c r="B1005" s="12"/>
    </row>
    <row r="1006" spans="2:2" x14ac:dyDescent="0.3">
      <c r="B1006" s="12"/>
    </row>
    <row r="1007" spans="2:2" x14ac:dyDescent="0.3">
      <c r="B1007" s="12"/>
    </row>
    <row r="1008" spans="2:2" x14ac:dyDescent="0.3">
      <c r="B1008" s="12"/>
    </row>
    <row r="1009" spans="2:2" x14ac:dyDescent="0.3">
      <c r="B1009" s="12"/>
    </row>
    <row r="1010" spans="2:2" x14ac:dyDescent="0.3">
      <c r="B1010" s="12"/>
    </row>
    <row r="1011" spans="2:2" x14ac:dyDescent="0.3">
      <c r="B1011" s="12"/>
    </row>
    <row r="1012" spans="2:2" x14ac:dyDescent="0.3">
      <c r="B1012" s="12"/>
    </row>
    <row r="1013" spans="2:2" x14ac:dyDescent="0.3">
      <c r="B1013" s="12"/>
    </row>
    <row r="1014" spans="2:2" x14ac:dyDescent="0.3">
      <c r="B1014" s="12"/>
    </row>
    <row r="1015" spans="2:2" x14ac:dyDescent="0.3">
      <c r="B1015" s="12"/>
    </row>
    <row r="1016" spans="2:2" x14ac:dyDescent="0.3">
      <c r="B1016" s="12"/>
    </row>
    <row r="1017" spans="2:2" x14ac:dyDescent="0.3">
      <c r="B1017" s="12"/>
    </row>
    <row r="1018" spans="2:2" x14ac:dyDescent="0.3">
      <c r="B1018" s="12"/>
    </row>
    <row r="1019" spans="2:2" x14ac:dyDescent="0.3">
      <c r="B1019" s="12"/>
    </row>
    <row r="1020" spans="2:2" x14ac:dyDescent="0.3">
      <c r="B1020" s="12"/>
    </row>
    <row r="1021" spans="2:2" x14ac:dyDescent="0.3">
      <c r="B1021" s="12"/>
    </row>
    <row r="1022" spans="2:2" x14ac:dyDescent="0.3">
      <c r="B1022" s="12"/>
    </row>
    <row r="1023" spans="2:2" x14ac:dyDescent="0.3">
      <c r="B1023" s="12"/>
    </row>
    <row r="1024" spans="2:2" x14ac:dyDescent="0.3">
      <c r="B1024" s="12"/>
    </row>
    <row r="1025" spans="2:2" x14ac:dyDescent="0.3">
      <c r="B1025" s="12"/>
    </row>
    <row r="1026" spans="2:2" x14ac:dyDescent="0.3">
      <c r="B1026" s="12"/>
    </row>
    <row r="1027" spans="2:2" x14ac:dyDescent="0.3">
      <c r="B1027" s="12"/>
    </row>
    <row r="1028" spans="2:2" x14ac:dyDescent="0.3">
      <c r="B1028" s="12"/>
    </row>
    <row r="1029" spans="2:2" x14ac:dyDescent="0.3">
      <c r="B1029" s="12"/>
    </row>
    <row r="1030" spans="2:2" x14ac:dyDescent="0.3">
      <c r="B1030" s="12"/>
    </row>
    <row r="1031" spans="2:2" x14ac:dyDescent="0.3">
      <c r="B1031" s="12"/>
    </row>
    <row r="1032" spans="2:2" x14ac:dyDescent="0.3">
      <c r="B1032" s="12"/>
    </row>
    <row r="1033" spans="2:2" x14ac:dyDescent="0.3">
      <c r="B1033" s="12"/>
    </row>
    <row r="1034" spans="2:2" x14ac:dyDescent="0.3">
      <c r="B1034" s="12"/>
    </row>
    <row r="1035" spans="2:2" x14ac:dyDescent="0.3">
      <c r="B1035" s="12"/>
    </row>
    <row r="1036" spans="2:2" x14ac:dyDescent="0.3">
      <c r="B1036" s="12"/>
    </row>
    <row r="1037" spans="2:2" x14ac:dyDescent="0.3">
      <c r="B1037" s="12"/>
    </row>
    <row r="1038" spans="2:2" x14ac:dyDescent="0.3">
      <c r="B1038" s="12"/>
    </row>
    <row r="1039" spans="2:2" x14ac:dyDescent="0.3">
      <c r="B1039" s="12"/>
    </row>
    <row r="1040" spans="2:2" x14ac:dyDescent="0.3">
      <c r="B1040" s="12"/>
    </row>
    <row r="1041" spans="2:2" x14ac:dyDescent="0.3">
      <c r="B1041" s="12"/>
    </row>
    <row r="1042" spans="2:2" x14ac:dyDescent="0.3">
      <c r="B1042" s="12"/>
    </row>
    <row r="1043" spans="2:2" x14ac:dyDescent="0.3">
      <c r="B1043" s="12"/>
    </row>
    <row r="1044" spans="2:2" x14ac:dyDescent="0.3">
      <c r="B1044" s="12"/>
    </row>
    <row r="1045" spans="2:2" x14ac:dyDescent="0.3">
      <c r="B1045" s="12"/>
    </row>
    <row r="1046" spans="2:2" x14ac:dyDescent="0.3">
      <c r="B1046" s="12"/>
    </row>
    <row r="1047" spans="2:2" x14ac:dyDescent="0.3">
      <c r="B1047" s="12"/>
    </row>
    <row r="1048" spans="2:2" x14ac:dyDescent="0.3">
      <c r="B1048" s="12"/>
    </row>
    <row r="1049" spans="2:2" x14ac:dyDescent="0.3">
      <c r="B1049" s="12"/>
    </row>
    <row r="1050" spans="2:2" x14ac:dyDescent="0.3">
      <c r="B1050" s="12"/>
    </row>
    <row r="1051" spans="2:2" x14ac:dyDescent="0.3">
      <c r="B1051" s="12"/>
    </row>
    <row r="1052" spans="2:2" x14ac:dyDescent="0.3">
      <c r="B1052" s="12"/>
    </row>
    <row r="1053" spans="2:2" x14ac:dyDescent="0.3">
      <c r="B1053" s="12"/>
    </row>
    <row r="1054" spans="2:2" x14ac:dyDescent="0.3">
      <c r="B1054" s="12"/>
    </row>
    <row r="1055" spans="2:2" x14ac:dyDescent="0.3">
      <c r="B1055" s="12"/>
    </row>
    <row r="1056" spans="2:2" x14ac:dyDescent="0.3">
      <c r="B1056" s="12"/>
    </row>
    <row r="1057" spans="2:2" x14ac:dyDescent="0.3">
      <c r="B1057" s="12"/>
    </row>
    <row r="1058" spans="2:2" x14ac:dyDescent="0.3">
      <c r="B1058" s="12"/>
    </row>
    <row r="1059" spans="2:2" x14ac:dyDescent="0.3">
      <c r="B1059" s="12"/>
    </row>
    <row r="1060" spans="2:2" x14ac:dyDescent="0.3">
      <c r="B1060" s="12"/>
    </row>
    <row r="1061" spans="2:2" x14ac:dyDescent="0.3">
      <c r="B1061" s="12"/>
    </row>
    <row r="1062" spans="2:2" x14ac:dyDescent="0.3">
      <c r="B1062" s="12"/>
    </row>
    <row r="1063" spans="2:2" x14ac:dyDescent="0.3">
      <c r="B1063" s="12"/>
    </row>
    <row r="1064" spans="2:2" x14ac:dyDescent="0.3">
      <c r="B1064" s="12"/>
    </row>
    <row r="1065" spans="2:2" x14ac:dyDescent="0.3">
      <c r="B1065" s="12"/>
    </row>
    <row r="1066" spans="2:2" x14ac:dyDescent="0.3">
      <c r="B1066" s="12"/>
    </row>
    <row r="1067" spans="2:2" x14ac:dyDescent="0.3">
      <c r="B1067" s="12"/>
    </row>
    <row r="1068" spans="2:2" x14ac:dyDescent="0.3">
      <c r="B1068" s="12"/>
    </row>
    <row r="1069" spans="2:2" x14ac:dyDescent="0.3">
      <c r="B1069" s="12"/>
    </row>
    <row r="1070" spans="2:2" x14ac:dyDescent="0.3">
      <c r="B1070" s="12"/>
    </row>
    <row r="1071" spans="2:2" x14ac:dyDescent="0.3">
      <c r="B1071" s="12"/>
    </row>
    <row r="1072" spans="2:2" x14ac:dyDescent="0.3">
      <c r="B1072" s="12"/>
    </row>
    <row r="1073" spans="2:2" x14ac:dyDescent="0.3">
      <c r="B1073" s="12"/>
    </row>
    <row r="1074" spans="2:2" x14ac:dyDescent="0.3">
      <c r="B1074" s="12"/>
    </row>
    <row r="1075" spans="2:2" x14ac:dyDescent="0.3">
      <c r="B1075" s="12"/>
    </row>
    <row r="1076" spans="2:2" x14ac:dyDescent="0.3">
      <c r="B1076" s="12"/>
    </row>
    <row r="1077" spans="2:2" x14ac:dyDescent="0.3">
      <c r="B1077" s="12"/>
    </row>
    <row r="1078" spans="2:2" x14ac:dyDescent="0.3">
      <c r="B1078" s="12"/>
    </row>
    <row r="1079" spans="2:2" x14ac:dyDescent="0.3">
      <c r="B1079" s="12"/>
    </row>
    <row r="1080" spans="2:2" x14ac:dyDescent="0.3">
      <c r="B1080" s="12"/>
    </row>
    <row r="1081" spans="2:2" x14ac:dyDescent="0.3">
      <c r="B1081" s="12"/>
    </row>
    <row r="1082" spans="2:2" x14ac:dyDescent="0.3">
      <c r="B1082" s="12"/>
    </row>
    <row r="1083" spans="2:2" x14ac:dyDescent="0.3">
      <c r="B1083" s="12"/>
    </row>
    <row r="1084" spans="2:2" x14ac:dyDescent="0.3">
      <c r="B1084" s="12"/>
    </row>
    <row r="1085" spans="2:2" x14ac:dyDescent="0.3">
      <c r="B1085" s="12"/>
    </row>
    <row r="1086" spans="2:2" x14ac:dyDescent="0.3">
      <c r="B1086" s="12"/>
    </row>
    <row r="1087" spans="2:2" x14ac:dyDescent="0.3">
      <c r="B1087" s="12"/>
    </row>
    <row r="1088" spans="2:2" x14ac:dyDescent="0.3">
      <c r="B1088" s="12"/>
    </row>
    <row r="1089" spans="2:2" x14ac:dyDescent="0.3">
      <c r="B1089" s="12"/>
    </row>
    <row r="1090" spans="2:2" x14ac:dyDescent="0.3">
      <c r="B1090" s="12"/>
    </row>
    <row r="1091" spans="2:2" x14ac:dyDescent="0.3">
      <c r="B1091" s="12"/>
    </row>
    <row r="1092" spans="2:2" x14ac:dyDescent="0.3">
      <c r="B1092" s="12"/>
    </row>
    <row r="1093" spans="2:2" x14ac:dyDescent="0.3">
      <c r="B1093" s="12"/>
    </row>
    <row r="1094" spans="2:2" x14ac:dyDescent="0.3">
      <c r="B1094" s="12"/>
    </row>
    <row r="1095" spans="2:2" x14ac:dyDescent="0.3">
      <c r="B1095" s="12"/>
    </row>
    <row r="1096" spans="2:2" x14ac:dyDescent="0.3">
      <c r="B1096" s="12"/>
    </row>
    <row r="1097" spans="2:2" x14ac:dyDescent="0.3">
      <c r="B1097" s="12"/>
    </row>
    <row r="1098" spans="2:2" x14ac:dyDescent="0.3">
      <c r="B1098" s="12"/>
    </row>
    <row r="1099" spans="2:2" x14ac:dyDescent="0.3">
      <c r="B1099" s="12"/>
    </row>
    <row r="1100" spans="2:2" x14ac:dyDescent="0.3">
      <c r="B1100" s="12"/>
    </row>
    <row r="1101" spans="2:2" x14ac:dyDescent="0.3">
      <c r="B1101" s="12"/>
    </row>
    <row r="1102" spans="2:2" x14ac:dyDescent="0.3">
      <c r="B1102" s="12"/>
    </row>
    <row r="1103" spans="2:2" x14ac:dyDescent="0.3">
      <c r="B1103" s="12"/>
    </row>
    <row r="1104" spans="2:2" x14ac:dyDescent="0.3">
      <c r="B1104" s="12"/>
    </row>
    <row r="1105" spans="2:2" x14ac:dyDescent="0.3">
      <c r="B1105" s="12"/>
    </row>
    <row r="1106" spans="2:2" x14ac:dyDescent="0.3">
      <c r="B1106" s="12"/>
    </row>
    <row r="1107" spans="2:2" x14ac:dyDescent="0.3">
      <c r="B1107" s="12"/>
    </row>
    <row r="1108" spans="2:2" x14ac:dyDescent="0.3">
      <c r="B1108" s="12"/>
    </row>
    <row r="1109" spans="2:2" x14ac:dyDescent="0.3">
      <c r="B1109" s="12"/>
    </row>
    <row r="1110" spans="2:2" x14ac:dyDescent="0.3">
      <c r="B1110" s="12"/>
    </row>
    <row r="1111" spans="2:2" x14ac:dyDescent="0.3">
      <c r="B1111" s="12"/>
    </row>
    <row r="1112" spans="2:2" x14ac:dyDescent="0.3">
      <c r="B1112" s="12"/>
    </row>
    <row r="1113" spans="2:2" x14ac:dyDescent="0.3">
      <c r="B1113" s="12"/>
    </row>
    <row r="1114" spans="2:2" x14ac:dyDescent="0.3">
      <c r="B1114" s="12"/>
    </row>
    <row r="1115" spans="2:2" x14ac:dyDescent="0.3">
      <c r="B1115" s="12"/>
    </row>
    <row r="1116" spans="2:2" x14ac:dyDescent="0.3">
      <c r="B1116" s="12"/>
    </row>
    <row r="1117" spans="2:2" x14ac:dyDescent="0.3">
      <c r="B1117" s="12"/>
    </row>
    <row r="1118" spans="2:2" x14ac:dyDescent="0.3">
      <c r="B1118" s="12"/>
    </row>
    <row r="1119" spans="2:2" x14ac:dyDescent="0.3">
      <c r="B1119" s="12"/>
    </row>
    <row r="1120" spans="2:2" x14ac:dyDescent="0.3">
      <c r="B1120" s="12"/>
    </row>
    <row r="1121" spans="2:2" x14ac:dyDescent="0.3">
      <c r="B1121" s="12"/>
    </row>
    <row r="1122" spans="2:2" x14ac:dyDescent="0.3">
      <c r="B1122" s="12"/>
    </row>
    <row r="1123" spans="2:2" x14ac:dyDescent="0.3">
      <c r="B1123" s="12"/>
    </row>
    <row r="1124" spans="2:2" x14ac:dyDescent="0.3">
      <c r="B1124" s="12"/>
    </row>
    <row r="1125" spans="2:2" x14ac:dyDescent="0.3">
      <c r="B1125" s="12"/>
    </row>
    <row r="1126" spans="2:2" x14ac:dyDescent="0.3">
      <c r="B1126" s="12"/>
    </row>
    <row r="1127" spans="2:2" x14ac:dyDescent="0.3">
      <c r="B1127" s="12"/>
    </row>
    <row r="1128" spans="2:2" x14ac:dyDescent="0.3">
      <c r="B1128" s="12"/>
    </row>
    <row r="1129" spans="2:2" x14ac:dyDescent="0.3">
      <c r="B1129" s="12"/>
    </row>
    <row r="1130" spans="2:2" x14ac:dyDescent="0.3">
      <c r="B1130" s="12"/>
    </row>
    <row r="1131" spans="2:2" x14ac:dyDescent="0.3">
      <c r="B1131" s="12"/>
    </row>
    <row r="1132" spans="2:2" x14ac:dyDescent="0.3">
      <c r="B1132" s="12"/>
    </row>
    <row r="1133" spans="2:2" x14ac:dyDescent="0.3">
      <c r="B1133" s="12"/>
    </row>
    <row r="1134" spans="2:2" x14ac:dyDescent="0.3">
      <c r="B1134" s="12"/>
    </row>
    <row r="1135" spans="2:2" x14ac:dyDescent="0.3">
      <c r="B1135" s="12"/>
    </row>
    <row r="1136" spans="2:2" x14ac:dyDescent="0.3">
      <c r="B1136" s="12"/>
    </row>
    <row r="1137" spans="2:2" x14ac:dyDescent="0.3">
      <c r="B1137" s="12"/>
    </row>
    <row r="1138" spans="2:2" x14ac:dyDescent="0.3">
      <c r="B1138" s="12"/>
    </row>
    <row r="1139" spans="2:2" x14ac:dyDescent="0.3">
      <c r="B1139" s="12"/>
    </row>
    <row r="1140" spans="2:2" x14ac:dyDescent="0.3">
      <c r="B1140" s="12"/>
    </row>
    <row r="1141" spans="2:2" x14ac:dyDescent="0.3">
      <c r="B1141" s="12"/>
    </row>
    <row r="1142" spans="2:2" x14ac:dyDescent="0.3">
      <c r="B1142" s="12"/>
    </row>
    <row r="1143" spans="2:2" x14ac:dyDescent="0.3">
      <c r="B1143" s="12"/>
    </row>
    <row r="1144" spans="2:2" x14ac:dyDescent="0.3">
      <c r="B1144" s="12"/>
    </row>
    <row r="1145" spans="2:2" x14ac:dyDescent="0.3">
      <c r="B1145" s="12"/>
    </row>
    <row r="1146" spans="2:2" x14ac:dyDescent="0.3">
      <c r="B1146" s="12"/>
    </row>
    <row r="1147" spans="2:2" x14ac:dyDescent="0.3">
      <c r="B1147" s="12"/>
    </row>
    <row r="1148" spans="2:2" x14ac:dyDescent="0.3">
      <c r="B1148" s="12"/>
    </row>
    <row r="1149" spans="2:2" x14ac:dyDescent="0.3">
      <c r="B1149" s="12"/>
    </row>
    <row r="1150" spans="2:2" x14ac:dyDescent="0.3">
      <c r="B1150" s="12"/>
    </row>
    <row r="1151" spans="2:2" x14ac:dyDescent="0.3">
      <c r="B1151" s="12"/>
    </row>
    <row r="1152" spans="2:2" x14ac:dyDescent="0.3">
      <c r="B1152" s="12"/>
    </row>
    <row r="1153" spans="2:2" x14ac:dyDescent="0.3">
      <c r="B1153" s="12"/>
    </row>
    <row r="1154" spans="2:2" x14ac:dyDescent="0.3">
      <c r="B1154" s="12"/>
    </row>
    <row r="1155" spans="2:2" x14ac:dyDescent="0.3">
      <c r="B1155" s="12"/>
    </row>
    <row r="1156" spans="2:2" x14ac:dyDescent="0.3">
      <c r="B1156" s="12"/>
    </row>
    <row r="1157" spans="2:2" x14ac:dyDescent="0.3">
      <c r="B1157" s="12"/>
    </row>
    <row r="1158" spans="2:2" x14ac:dyDescent="0.3">
      <c r="B1158" s="12"/>
    </row>
    <row r="1159" spans="2:2" x14ac:dyDescent="0.3">
      <c r="B1159" s="12"/>
    </row>
    <row r="1160" spans="2:2" x14ac:dyDescent="0.3">
      <c r="B1160" s="12"/>
    </row>
    <row r="1161" spans="2:2" x14ac:dyDescent="0.3">
      <c r="B1161" s="12"/>
    </row>
    <row r="1162" spans="2:2" x14ac:dyDescent="0.3">
      <c r="B1162" s="12"/>
    </row>
    <row r="1163" spans="2:2" x14ac:dyDescent="0.3">
      <c r="B1163" s="12"/>
    </row>
    <row r="1164" spans="2:2" x14ac:dyDescent="0.3">
      <c r="B1164" s="12"/>
    </row>
    <row r="1165" spans="2:2" x14ac:dyDescent="0.3">
      <c r="B1165" s="12"/>
    </row>
    <row r="1166" spans="2:2" x14ac:dyDescent="0.3">
      <c r="B1166" s="12"/>
    </row>
    <row r="1167" spans="2:2" x14ac:dyDescent="0.3">
      <c r="B1167" s="12"/>
    </row>
    <row r="1168" spans="2:2" x14ac:dyDescent="0.3">
      <c r="B1168" s="12"/>
    </row>
    <row r="1169" spans="2:2" x14ac:dyDescent="0.3">
      <c r="B1169" s="12"/>
    </row>
    <row r="1170" spans="2:2" x14ac:dyDescent="0.3">
      <c r="B1170" s="12"/>
    </row>
    <row r="1171" spans="2:2" x14ac:dyDescent="0.3">
      <c r="B1171" s="12"/>
    </row>
    <row r="1172" spans="2:2" x14ac:dyDescent="0.3">
      <c r="B1172" s="12"/>
    </row>
    <row r="1173" spans="2:2" x14ac:dyDescent="0.3">
      <c r="B1173" s="12"/>
    </row>
    <row r="1174" spans="2:2" x14ac:dyDescent="0.3">
      <c r="B1174" s="12"/>
    </row>
    <row r="1175" spans="2:2" x14ac:dyDescent="0.3">
      <c r="B1175" s="12"/>
    </row>
    <row r="1176" spans="2:2" x14ac:dyDescent="0.3">
      <c r="B1176" s="12"/>
    </row>
    <row r="1177" spans="2:2" x14ac:dyDescent="0.3">
      <c r="B1177" s="12"/>
    </row>
    <row r="1178" spans="2:2" x14ac:dyDescent="0.3">
      <c r="B1178" s="12"/>
    </row>
    <row r="1179" spans="2:2" x14ac:dyDescent="0.3">
      <c r="B1179" s="12"/>
    </row>
    <row r="1180" spans="2:2" x14ac:dyDescent="0.3">
      <c r="B1180" s="12"/>
    </row>
    <row r="1181" spans="2:2" x14ac:dyDescent="0.3">
      <c r="B1181" s="12"/>
    </row>
    <row r="1182" spans="2:2" x14ac:dyDescent="0.3">
      <c r="B1182" s="12"/>
    </row>
    <row r="1183" spans="2:2" x14ac:dyDescent="0.3">
      <c r="B1183" s="12"/>
    </row>
    <row r="1184" spans="2:2" x14ac:dyDescent="0.3">
      <c r="B1184" s="12"/>
    </row>
    <row r="1185" spans="2:2" x14ac:dyDescent="0.3">
      <c r="B1185" s="12"/>
    </row>
    <row r="1186" spans="2:2" x14ac:dyDescent="0.3">
      <c r="B1186" s="12"/>
    </row>
    <row r="1187" spans="2:2" x14ac:dyDescent="0.3">
      <c r="B1187" s="12"/>
    </row>
    <row r="1188" spans="2:2" x14ac:dyDescent="0.3">
      <c r="B1188" s="12"/>
    </row>
    <row r="1189" spans="2:2" x14ac:dyDescent="0.3">
      <c r="B1189" s="12"/>
    </row>
    <row r="1190" spans="2:2" x14ac:dyDescent="0.3">
      <c r="B1190" s="12"/>
    </row>
    <row r="1191" spans="2:2" x14ac:dyDescent="0.3">
      <c r="B1191" s="12"/>
    </row>
    <row r="1192" spans="2:2" x14ac:dyDescent="0.3">
      <c r="B1192" s="12"/>
    </row>
    <row r="1193" spans="2:2" x14ac:dyDescent="0.3">
      <c r="B1193" s="12"/>
    </row>
    <row r="1194" spans="2:2" x14ac:dyDescent="0.3">
      <c r="B1194" s="12"/>
    </row>
    <row r="1195" spans="2:2" x14ac:dyDescent="0.3">
      <c r="B1195" s="12"/>
    </row>
    <row r="1196" spans="2:2" x14ac:dyDescent="0.3">
      <c r="B1196" s="12"/>
    </row>
    <row r="1197" spans="2:2" x14ac:dyDescent="0.3">
      <c r="B1197" s="12"/>
    </row>
    <row r="1198" spans="2:2" x14ac:dyDescent="0.3">
      <c r="B1198" s="12"/>
    </row>
    <row r="1199" spans="2:2" x14ac:dyDescent="0.3">
      <c r="B1199" s="12"/>
    </row>
    <row r="1200" spans="2:2" x14ac:dyDescent="0.3">
      <c r="B1200" s="12"/>
    </row>
    <row r="1201" spans="2:2" x14ac:dyDescent="0.3">
      <c r="B1201" s="12"/>
    </row>
    <row r="1202" spans="2:2" x14ac:dyDescent="0.3">
      <c r="B1202" s="12"/>
    </row>
    <row r="1203" spans="2:2" x14ac:dyDescent="0.3">
      <c r="B1203" s="12"/>
    </row>
    <row r="1204" spans="2:2" x14ac:dyDescent="0.3">
      <c r="B1204" s="12"/>
    </row>
    <row r="1205" spans="2:2" x14ac:dyDescent="0.3">
      <c r="B1205" s="12"/>
    </row>
    <row r="1206" spans="2:2" x14ac:dyDescent="0.3">
      <c r="B1206" s="12"/>
    </row>
    <row r="1207" spans="2:2" x14ac:dyDescent="0.3">
      <c r="B1207" s="12"/>
    </row>
    <row r="1208" spans="2:2" x14ac:dyDescent="0.3">
      <c r="B1208" s="12"/>
    </row>
    <row r="1209" spans="2:2" x14ac:dyDescent="0.3">
      <c r="B1209" s="12"/>
    </row>
    <row r="1210" spans="2:2" x14ac:dyDescent="0.3">
      <c r="B1210" s="12"/>
    </row>
    <row r="1211" spans="2:2" x14ac:dyDescent="0.3">
      <c r="B1211" s="12"/>
    </row>
    <row r="1212" spans="2:2" x14ac:dyDescent="0.3">
      <c r="B1212" s="12"/>
    </row>
    <row r="1213" spans="2:2" x14ac:dyDescent="0.3">
      <c r="B1213" s="12"/>
    </row>
    <row r="1214" spans="2:2" x14ac:dyDescent="0.3">
      <c r="B1214" s="12"/>
    </row>
    <row r="1215" spans="2:2" x14ac:dyDescent="0.3">
      <c r="B1215" s="12"/>
    </row>
    <row r="1216" spans="2:2" x14ac:dyDescent="0.3">
      <c r="B1216" s="12"/>
    </row>
    <row r="1217" spans="2:2" x14ac:dyDescent="0.3">
      <c r="B1217" s="12"/>
    </row>
    <row r="1218" spans="2:2" x14ac:dyDescent="0.3">
      <c r="B1218" s="12"/>
    </row>
    <row r="1219" spans="2:2" x14ac:dyDescent="0.3">
      <c r="B1219" s="12"/>
    </row>
    <row r="1220" spans="2:2" x14ac:dyDescent="0.3">
      <c r="B1220" s="12"/>
    </row>
    <row r="1221" spans="2:2" x14ac:dyDescent="0.3">
      <c r="B1221" s="12"/>
    </row>
    <row r="1222" spans="2:2" x14ac:dyDescent="0.3">
      <c r="B1222" s="12"/>
    </row>
    <row r="1223" spans="2:2" x14ac:dyDescent="0.3">
      <c r="B1223" s="12"/>
    </row>
    <row r="1224" spans="2:2" x14ac:dyDescent="0.3">
      <c r="B1224" s="12"/>
    </row>
    <row r="1225" spans="2:2" x14ac:dyDescent="0.3">
      <c r="B1225" s="12"/>
    </row>
    <row r="1226" spans="2:2" x14ac:dyDescent="0.3">
      <c r="B1226" s="12"/>
    </row>
    <row r="1227" spans="2:2" x14ac:dyDescent="0.3">
      <c r="B1227" s="12"/>
    </row>
    <row r="1228" spans="2:2" x14ac:dyDescent="0.3">
      <c r="B1228" s="12"/>
    </row>
    <row r="1229" spans="2:2" x14ac:dyDescent="0.3">
      <c r="B1229" s="12"/>
    </row>
    <row r="1230" spans="2:2" x14ac:dyDescent="0.3">
      <c r="B1230" s="12"/>
    </row>
    <row r="1231" spans="2:2" x14ac:dyDescent="0.3">
      <c r="B1231" s="12"/>
    </row>
    <row r="1232" spans="2:2" x14ac:dyDescent="0.3">
      <c r="B1232" s="12"/>
    </row>
    <row r="1233" spans="2:2" x14ac:dyDescent="0.3">
      <c r="B1233" s="12"/>
    </row>
    <row r="1234" spans="2:2" x14ac:dyDescent="0.3">
      <c r="B1234" s="12"/>
    </row>
    <row r="1235" spans="2:2" x14ac:dyDescent="0.3">
      <c r="B1235" s="12"/>
    </row>
    <row r="1236" spans="2:2" x14ac:dyDescent="0.3">
      <c r="B1236" s="12"/>
    </row>
    <row r="1237" spans="2:2" x14ac:dyDescent="0.3">
      <c r="B1237" s="12"/>
    </row>
    <row r="1238" spans="2:2" x14ac:dyDescent="0.3">
      <c r="B1238" s="12"/>
    </row>
    <row r="1239" spans="2:2" x14ac:dyDescent="0.3">
      <c r="B1239" s="12"/>
    </row>
    <row r="1240" spans="2:2" x14ac:dyDescent="0.3">
      <c r="B1240" s="12"/>
    </row>
    <row r="1241" spans="2:2" x14ac:dyDescent="0.3">
      <c r="B1241" s="12"/>
    </row>
    <row r="1242" spans="2:2" x14ac:dyDescent="0.3">
      <c r="B1242" s="12"/>
    </row>
    <row r="1243" spans="2:2" x14ac:dyDescent="0.3">
      <c r="B1243" s="12"/>
    </row>
    <row r="1244" spans="2:2" x14ac:dyDescent="0.3">
      <c r="B1244" s="12"/>
    </row>
    <row r="1245" spans="2:2" x14ac:dyDescent="0.3">
      <c r="B1245" s="12"/>
    </row>
    <row r="1246" spans="2:2" x14ac:dyDescent="0.3">
      <c r="B1246" s="12"/>
    </row>
    <row r="1247" spans="2:2" x14ac:dyDescent="0.3">
      <c r="B1247" s="12"/>
    </row>
    <row r="1248" spans="2:2" x14ac:dyDescent="0.3">
      <c r="B1248" s="12"/>
    </row>
    <row r="1249" spans="2:2" x14ac:dyDescent="0.3">
      <c r="B1249" s="12"/>
    </row>
    <row r="1250" spans="2:2" x14ac:dyDescent="0.3">
      <c r="B1250" s="12"/>
    </row>
    <row r="1251" spans="2:2" x14ac:dyDescent="0.3">
      <c r="B1251" s="12"/>
    </row>
    <row r="1252" spans="2:2" x14ac:dyDescent="0.3">
      <c r="B1252" s="12"/>
    </row>
    <row r="1253" spans="2:2" x14ac:dyDescent="0.3">
      <c r="B1253" s="12"/>
    </row>
    <row r="1254" spans="2:2" x14ac:dyDescent="0.3">
      <c r="B1254" s="12"/>
    </row>
    <row r="1255" spans="2:2" x14ac:dyDescent="0.3">
      <c r="B1255" s="12"/>
    </row>
    <row r="1256" spans="2:2" x14ac:dyDescent="0.3">
      <c r="B1256" s="12"/>
    </row>
    <row r="1257" spans="2:2" x14ac:dyDescent="0.3">
      <c r="B1257" s="12"/>
    </row>
    <row r="1258" spans="2:2" x14ac:dyDescent="0.3">
      <c r="B1258" s="12"/>
    </row>
    <row r="1259" spans="2:2" x14ac:dyDescent="0.3">
      <c r="B1259" s="12"/>
    </row>
    <row r="1260" spans="2:2" x14ac:dyDescent="0.3">
      <c r="B1260" s="12"/>
    </row>
    <row r="1261" spans="2:2" x14ac:dyDescent="0.3">
      <c r="B1261" s="12"/>
    </row>
    <row r="1262" spans="2:2" x14ac:dyDescent="0.3">
      <c r="B1262" s="12"/>
    </row>
    <row r="1263" spans="2:2" x14ac:dyDescent="0.3">
      <c r="B1263" s="12"/>
    </row>
    <row r="1264" spans="2:2" x14ac:dyDescent="0.3">
      <c r="B1264" s="12"/>
    </row>
    <row r="1265" spans="2:2" x14ac:dyDescent="0.3">
      <c r="B1265" s="12"/>
    </row>
    <row r="1266" spans="2:2" x14ac:dyDescent="0.3">
      <c r="B1266" s="12"/>
    </row>
    <row r="1267" spans="2:2" x14ac:dyDescent="0.3">
      <c r="B1267" s="12"/>
    </row>
    <row r="1268" spans="2:2" x14ac:dyDescent="0.3">
      <c r="B1268" s="12"/>
    </row>
    <row r="1269" spans="2:2" x14ac:dyDescent="0.3">
      <c r="B1269" s="12"/>
    </row>
    <row r="1270" spans="2:2" x14ac:dyDescent="0.3">
      <c r="B1270" s="12"/>
    </row>
    <row r="1271" spans="2:2" x14ac:dyDescent="0.3">
      <c r="B1271" s="12"/>
    </row>
    <row r="1272" spans="2:2" x14ac:dyDescent="0.3">
      <c r="B1272" s="12"/>
    </row>
    <row r="1273" spans="2:2" x14ac:dyDescent="0.3">
      <c r="B1273" s="12"/>
    </row>
    <row r="1274" spans="2:2" x14ac:dyDescent="0.3">
      <c r="B1274" s="12"/>
    </row>
    <row r="1275" spans="2:2" x14ac:dyDescent="0.3">
      <c r="B1275" s="12"/>
    </row>
    <row r="1276" spans="2:2" x14ac:dyDescent="0.3">
      <c r="B1276" s="12"/>
    </row>
    <row r="1277" spans="2:2" x14ac:dyDescent="0.3">
      <c r="B1277" s="12"/>
    </row>
    <row r="1278" spans="2:2" x14ac:dyDescent="0.3">
      <c r="B1278" s="12"/>
    </row>
    <row r="1279" spans="2:2" x14ac:dyDescent="0.3">
      <c r="B1279" s="12"/>
    </row>
    <row r="1280" spans="2:2" x14ac:dyDescent="0.3">
      <c r="B1280" s="12"/>
    </row>
    <row r="1281" spans="2:2" x14ac:dyDescent="0.3">
      <c r="B1281" s="12"/>
    </row>
    <row r="1282" spans="2:2" x14ac:dyDescent="0.3">
      <c r="B1282" s="12"/>
    </row>
    <row r="1283" spans="2:2" x14ac:dyDescent="0.3">
      <c r="B1283" s="12"/>
    </row>
    <row r="1284" spans="2:2" x14ac:dyDescent="0.3">
      <c r="B1284" s="12"/>
    </row>
    <row r="1285" spans="2:2" x14ac:dyDescent="0.3">
      <c r="B1285" s="12"/>
    </row>
    <row r="1286" spans="2:2" x14ac:dyDescent="0.3">
      <c r="B1286" s="12"/>
    </row>
    <row r="1287" spans="2:2" x14ac:dyDescent="0.3">
      <c r="B1287" s="12"/>
    </row>
    <row r="1288" spans="2:2" x14ac:dyDescent="0.3">
      <c r="B1288" s="12"/>
    </row>
    <row r="1289" spans="2:2" x14ac:dyDescent="0.3">
      <c r="B1289" s="12"/>
    </row>
    <row r="1290" spans="2:2" x14ac:dyDescent="0.3">
      <c r="B1290" s="12"/>
    </row>
    <row r="1291" spans="2:2" x14ac:dyDescent="0.3">
      <c r="B1291" s="12"/>
    </row>
    <row r="1292" spans="2:2" x14ac:dyDescent="0.3">
      <c r="B1292" s="12"/>
    </row>
    <row r="1293" spans="2:2" x14ac:dyDescent="0.3">
      <c r="B1293" s="12"/>
    </row>
    <row r="1294" spans="2:2" x14ac:dyDescent="0.3">
      <c r="B1294" s="12"/>
    </row>
    <row r="1295" spans="2:2" x14ac:dyDescent="0.3">
      <c r="B1295" s="12"/>
    </row>
    <row r="1296" spans="2:2" x14ac:dyDescent="0.3">
      <c r="B1296" s="12"/>
    </row>
    <row r="1297" spans="2:2" x14ac:dyDescent="0.3">
      <c r="B1297" s="12"/>
    </row>
    <row r="1298" spans="2:2" x14ac:dyDescent="0.3">
      <c r="B1298" s="12"/>
    </row>
    <row r="1299" spans="2:2" x14ac:dyDescent="0.3">
      <c r="B1299" s="12"/>
    </row>
    <row r="1300" spans="2:2" x14ac:dyDescent="0.3">
      <c r="B1300" s="12"/>
    </row>
    <row r="1301" spans="2:2" x14ac:dyDescent="0.3">
      <c r="B1301" s="12"/>
    </row>
    <row r="1302" spans="2:2" x14ac:dyDescent="0.3">
      <c r="B1302" s="12"/>
    </row>
    <row r="1303" spans="2:2" x14ac:dyDescent="0.3">
      <c r="B1303" s="12"/>
    </row>
    <row r="1304" spans="2:2" x14ac:dyDescent="0.3">
      <c r="B1304" s="12"/>
    </row>
    <row r="1305" spans="2:2" x14ac:dyDescent="0.3">
      <c r="B1305" s="12"/>
    </row>
    <row r="1306" spans="2:2" x14ac:dyDescent="0.3">
      <c r="B1306" s="12"/>
    </row>
    <row r="1307" spans="2:2" x14ac:dyDescent="0.3">
      <c r="B1307" s="12"/>
    </row>
    <row r="1308" spans="2:2" x14ac:dyDescent="0.3">
      <c r="B1308" s="12"/>
    </row>
    <row r="1309" spans="2:2" x14ac:dyDescent="0.3">
      <c r="B1309" s="12"/>
    </row>
    <row r="1310" spans="2:2" x14ac:dyDescent="0.3">
      <c r="B1310" s="12"/>
    </row>
  </sheetData>
  <mergeCells count="2">
    <mergeCell ref="B1:D1"/>
    <mergeCell ref="B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CONFIG</vt:lpstr>
      <vt:lpstr>BETA</vt:lpstr>
      <vt:lpstr>DVD</vt:lpstr>
      <vt:lpstr>EE</vt:lpstr>
      <vt:lpstr>ANR</vt:lpstr>
      <vt:lpstr>HP_Monthly</vt:lpstr>
      <vt:lpstr>HP_Daily</vt:lpstr>
      <vt:lpstr>ASOFDATE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Thomassen, Magnus S</cp:lastModifiedBy>
  <dcterms:created xsi:type="dcterms:W3CDTF">2026-05-08T13:59:48Z</dcterms:created>
  <dcterms:modified xsi:type="dcterms:W3CDTF">2026-05-08T16:57:22Z</dcterms:modified>
</cp:coreProperties>
</file>